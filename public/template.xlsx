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9" yWindow="122" windowWidth="11045" windowHeight="8558" firstSheet="3" activeTab="3"/>
  </bookViews>
  <sheets>
    <sheet name="Chart1" sheetId="20" state="hidden" r:id="rId1"/>
    <sheet name="Chart2" sheetId="21" state="hidden" r:id="rId2"/>
    <sheet name="Chart3" sheetId="40" state="hidden" r:id="rId3"/>
    <sheet name="  26년 08월" sheetId="61" r:id="rId4"/>
    <sheet name="  26년 07월" sheetId="59" r:id="rId5"/>
    <sheet name="26년2분기부가세" sheetId="60" r:id="rId6"/>
    <sheet name="  26년 06월" sheetId="58" r:id="rId7"/>
    <sheet name="  26년 05월" sheetId="57" r:id="rId8"/>
    <sheet name="  26년 04월" sheetId="55" r:id="rId9"/>
    <sheet name="26년1분기부가세" sheetId="56" r:id="rId10"/>
    <sheet name="  26년 03월" sheetId="54" r:id="rId11"/>
    <sheet name="  26년 02월" sheetId="53" r:id="rId12"/>
    <sheet name="  26년 01월   " sheetId="51" r:id="rId13"/>
    <sheet name="25년4분기부가세  " sheetId="52" r:id="rId14"/>
    <sheet name="25년 12월" sheetId="50" r:id="rId15"/>
    <sheet name="25년 11월" sheetId="49" r:id="rId16"/>
    <sheet name="25년 10월" sheetId="47" r:id="rId17"/>
    <sheet name="25년3분기부가세" sheetId="48" r:id="rId18"/>
    <sheet name="25년 09월" sheetId="46" r:id="rId19"/>
    <sheet name="25년 08월" sheetId="45" r:id="rId20"/>
    <sheet name="25년2분기부가세" sheetId="44" r:id="rId21"/>
    <sheet name="25년 07월" sheetId="43" r:id="rId22"/>
    <sheet name="25년 06월" sheetId="42" r:id="rId23"/>
    <sheet name="25년 05월" sheetId="41" r:id="rId24"/>
    <sheet name="25년 04월 " sheetId="38" r:id="rId25"/>
    <sheet name="25년1분기부가세" sheetId="39" r:id="rId26"/>
    <sheet name="25년 03월 " sheetId="37" r:id="rId27"/>
    <sheet name="25년 02월" sheetId="36" r:id="rId28"/>
    <sheet name="24년4분기부가세" sheetId="35" r:id="rId29"/>
    <sheet name="25년 01월" sheetId="34" r:id="rId30"/>
    <sheet name="24년 12월" sheetId="33" r:id="rId31"/>
    <sheet name="24년 11월" sheetId="32" r:id="rId32"/>
    <sheet name="24년 10월" sheetId="30" r:id="rId33"/>
    <sheet name="24년3분기부가세" sheetId="31" r:id="rId34"/>
    <sheet name="24년 09월" sheetId="29" r:id="rId35"/>
    <sheet name="24년 08월" sheetId="28" r:id="rId36"/>
    <sheet name="24년2분기부가세" sheetId="27" r:id="rId37"/>
    <sheet name="24년 07월" sheetId="26" r:id="rId38"/>
    <sheet name="24년 06월" sheetId="25" r:id="rId39"/>
    <sheet name="24년 05월 " sheetId="24" r:id="rId40"/>
    <sheet name="24년1분기부가세" sheetId="23" r:id="rId41"/>
    <sheet name="24년04월" sheetId="22" r:id="rId42"/>
    <sheet name="24년03월" sheetId="19" r:id="rId43"/>
    <sheet name="24년02월" sheetId="18" r:id="rId44"/>
    <sheet name="24년01월" sheetId="16" r:id="rId45"/>
    <sheet name="23년4분기부가세" sheetId="17" r:id="rId46"/>
    <sheet name="23년10월 " sheetId="13" r:id="rId47"/>
    <sheet name="23년12월" sheetId="15" r:id="rId48"/>
    <sheet name="23년11월 " sheetId="14" r:id="rId49"/>
    <sheet name="23년3분기부가세" sheetId="12" r:id="rId50"/>
    <sheet name="23년09월" sheetId="11" r:id="rId51"/>
    <sheet name="23년08월 " sheetId="10" r:id="rId52"/>
    <sheet name="23년07월" sheetId="7" r:id="rId53"/>
    <sheet name="23년2분기부가세" sheetId="9" r:id="rId54"/>
    <sheet name="23년06월 " sheetId="5" r:id="rId55"/>
    <sheet name="23년5월 " sheetId="4" r:id="rId56"/>
    <sheet name="23년4월" sheetId="1" r:id="rId57"/>
  </sheets>
  <calcPr calcId="145621"/>
</workbook>
</file>

<file path=xl/calcChain.xml><?xml version="1.0" encoding="utf-8"?>
<calcChain xmlns="http://schemas.openxmlformats.org/spreadsheetml/2006/main">
  <c r="B13" i="61" l="1"/>
  <c r="B12" i="61"/>
  <c r="B8" i="61"/>
  <c r="B15" i="60" l="1"/>
  <c r="B18" i="60" s="1"/>
  <c r="C8" i="60"/>
  <c r="B8" i="60"/>
  <c r="A18" i="60" l="1"/>
  <c r="C18" i="60" s="1"/>
  <c r="B13" i="59"/>
  <c r="B12" i="59"/>
  <c r="B8" i="59"/>
  <c r="B12" i="58" l="1"/>
  <c r="B13" i="58" l="1"/>
  <c r="B8" i="58"/>
  <c r="B13" i="57" l="1"/>
  <c r="B12" i="57"/>
  <c r="B8" i="57"/>
  <c r="B15" i="56" l="1"/>
  <c r="B18" i="56" s="1"/>
  <c r="C8" i="56"/>
  <c r="B8" i="56"/>
  <c r="A18" i="56" l="1"/>
  <c r="C18" i="56"/>
  <c r="B13" i="55"/>
  <c r="B12" i="55"/>
  <c r="B8" i="55"/>
  <c r="B8" i="54" l="1"/>
  <c r="B13" i="54" l="1"/>
  <c r="B12" i="54"/>
  <c r="B13" i="53" l="1"/>
  <c r="B12" i="53"/>
  <c r="B8" i="53"/>
  <c r="B15" i="52" l="1"/>
  <c r="B18" i="52" s="1"/>
  <c r="C8" i="52"/>
  <c r="B8" i="52"/>
  <c r="A18" i="52" l="1"/>
  <c r="C18" i="52"/>
  <c r="B13" i="51"/>
  <c r="B12" i="51"/>
  <c r="B8" i="51"/>
  <c r="B13" i="50" l="1"/>
  <c r="B12" i="50"/>
  <c r="B8" i="50"/>
  <c r="B13" i="49" l="1"/>
  <c r="B12" i="49"/>
  <c r="B8" i="49"/>
  <c r="B8" i="47" l="1"/>
  <c r="B15" i="48" l="1"/>
  <c r="B18" i="48" s="1"/>
  <c r="C8" i="48"/>
  <c r="B8" i="48"/>
  <c r="A18" i="48" l="1"/>
  <c r="C18" i="48" s="1"/>
  <c r="B13" i="47"/>
  <c r="B12" i="47"/>
  <c r="B13" i="46" l="1"/>
  <c r="B12" i="46"/>
  <c r="B8" i="46"/>
  <c r="B13" i="45" l="1"/>
  <c r="B12" i="45"/>
  <c r="B8" i="45"/>
  <c r="B15" i="44" l="1"/>
  <c r="B18" i="44" s="1"/>
  <c r="C8" i="44"/>
  <c r="B8" i="44"/>
  <c r="A18" i="44" l="1"/>
  <c r="C18" i="44" s="1"/>
  <c r="B13" i="43"/>
  <c r="B12" i="43"/>
  <c r="B8" i="43"/>
  <c r="B13" i="42" l="1"/>
  <c r="B12" i="42"/>
  <c r="B8" i="42"/>
  <c r="B13" i="41" l="1"/>
  <c r="B12" i="41"/>
  <c r="B8" i="41"/>
  <c r="B15" i="39" l="1"/>
  <c r="B18" i="39" s="1"/>
  <c r="C8" i="39"/>
  <c r="B8" i="39"/>
  <c r="A18" i="39" l="1"/>
  <c r="C18" i="39" s="1"/>
  <c r="B13" i="38"/>
  <c r="B12" i="38"/>
  <c r="B8" i="38"/>
  <c r="B12" i="37" l="1"/>
  <c r="B13" i="37" l="1"/>
  <c r="B8" i="37"/>
  <c r="B13" i="36" l="1"/>
  <c r="B12" i="36"/>
  <c r="B8" i="36"/>
  <c r="B15" i="35" l="1"/>
  <c r="B18" i="35" s="1"/>
  <c r="C8" i="35"/>
  <c r="B8" i="35"/>
  <c r="A18" i="35" l="1"/>
  <c r="C18" i="35"/>
  <c r="B13" i="34"/>
  <c r="B12" i="34"/>
  <c r="B8" i="34"/>
  <c r="B12" i="33" l="1"/>
  <c r="B13" i="33"/>
  <c r="B8" i="33"/>
  <c r="B13" i="32" l="1"/>
  <c r="B12" i="32"/>
  <c r="B8" i="32"/>
  <c r="B15" i="31" l="1"/>
  <c r="B18" i="31" s="1"/>
  <c r="C8" i="31"/>
  <c r="B8" i="31"/>
  <c r="A18" i="31" l="1"/>
  <c r="C18" i="31" s="1"/>
  <c r="B13" i="30"/>
  <c r="B12" i="30"/>
  <c r="B8" i="30"/>
  <c r="B13" i="29" l="1"/>
  <c r="B12" i="29"/>
  <c r="B8" i="29"/>
  <c r="B8" i="28" l="1"/>
  <c r="B13" i="28" l="1"/>
  <c r="B12" i="28"/>
  <c r="B15" i="27" l="1"/>
  <c r="B18" i="27" s="1"/>
  <c r="C8" i="27"/>
  <c r="B8" i="27"/>
  <c r="A18" i="27" l="1"/>
  <c r="C18" i="27" s="1"/>
  <c r="B13" i="26"/>
  <c r="B12" i="26"/>
  <c r="B8" i="26"/>
  <c r="B13" i="25" l="1"/>
  <c r="B12" i="25"/>
  <c r="B8" i="25"/>
  <c r="B13" i="24" l="1"/>
  <c r="B12" i="24"/>
  <c r="B8" i="24"/>
  <c r="B15" i="23" l="1"/>
  <c r="B18" i="23" s="1"/>
  <c r="C8" i="23"/>
  <c r="B8" i="23"/>
  <c r="A18" i="23" l="1"/>
  <c r="C18" i="23"/>
  <c r="B13" i="22"/>
  <c r="B12" i="22"/>
  <c r="B8" i="22"/>
  <c r="B8" i="19" l="1"/>
  <c r="B13" i="19" l="1"/>
  <c r="B12" i="19"/>
  <c r="B12" i="18" l="1"/>
  <c r="B13" i="18" l="1"/>
  <c r="B8" i="18"/>
  <c r="B15" i="17" l="1"/>
  <c r="B18" i="17" s="1"/>
  <c r="C8" i="17"/>
  <c r="B8" i="17"/>
  <c r="A18" i="17" l="1"/>
  <c r="C18" i="17" s="1"/>
  <c r="B13" i="16"/>
  <c r="B8" i="16"/>
  <c r="B13" i="15" l="1"/>
  <c r="B12" i="15"/>
  <c r="B8" i="15"/>
  <c r="B12" i="14" l="1"/>
  <c r="B13" i="14" l="1"/>
  <c r="B8" i="14"/>
  <c r="B13" i="13" l="1"/>
  <c r="B12" i="13"/>
  <c r="B8" i="13"/>
  <c r="B15" i="12"/>
  <c r="B18" i="12" s="1"/>
  <c r="C8" i="12"/>
  <c r="B8" i="12"/>
  <c r="A18" i="12" l="1"/>
  <c r="C18" i="12" s="1"/>
  <c r="B13" i="11"/>
  <c r="B12" i="11"/>
  <c r="B8" i="11"/>
  <c r="B13" i="10" l="1"/>
  <c r="B12" i="10"/>
  <c r="B8" i="10"/>
  <c r="B8" i="7" l="1"/>
  <c r="B12" i="7"/>
  <c r="B8" i="9" l="1"/>
  <c r="A18" i="9" s="1"/>
  <c r="B15" i="9"/>
  <c r="B18" i="9" s="1"/>
  <c r="C8" i="9"/>
  <c r="C18" i="9" l="1"/>
  <c r="B13" i="7"/>
  <c r="B8" i="5" l="1"/>
  <c r="B13" i="5"/>
  <c r="B12" i="5"/>
  <c r="B12" i="4" l="1"/>
  <c r="B13" i="4" l="1"/>
  <c r="B8" i="4"/>
  <c r="B12" i="1" l="1"/>
  <c r="B13" i="1"/>
  <c r="B8" i="1"/>
</calcChain>
</file>

<file path=xl/sharedStrings.xml><?xml version="1.0" encoding="utf-8"?>
<sst xmlns="http://schemas.openxmlformats.org/spreadsheetml/2006/main" count="651" uniqueCount="107">
  <si>
    <t>서비스 a/s</t>
    <phoneticPr fontId="1" type="noConversion"/>
  </si>
  <si>
    <t>포인트</t>
    <phoneticPr fontId="1" type="noConversion"/>
  </si>
  <si>
    <t>인센티브</t>
    <phoneticPr fontId="1" type="noConversion"/>
  </si>
  <si>
    <t>통장</t>
    <phoneticPr fontId="1" type="noConversion"/>
  </si>
  <si>
    <t>농협</t>
    <phoneticPr fontId="1" type="noConversion"/>
  </si>
  <si>
    <t>기업은행</t>
    <phoneticPr fontId="1" type="noConversion"/>
  </si>
  <si>
    <t>차액</t>
    <phoneticPr fontId="1" type="noConversion"/>
  </si>
  <si>
    <t>23년 4월 마감</t>
    <phoneticPr fontId="1" type="noConversion"/>
  </si>
  <si>
    <t>국민 3001-9029-005361</t>
    <phoneticPr fontId="1" type="noConversion"/>
  </si>
  <si>
    <t>구매상계</t>
    <phoneticPr fontId="1" type="noConversion"/>
  </si>
  <si>
    <t>4월 매입금액</t>
    <phoneticPr fontId="1" type="noConversion"/>
  </si>
  <si>
    <t>4월 마감금액</t>
    <phoneticPr fontId="1" type="noConversion"/>
  </si>
  <si>
    <t>5월 매입금액</t>
    <phoneticPr fontId="1" type="noConversion"/>
  </si>
  <si>
    <t>23년 5월 마감</t>
    <phoneticPr fontId="1" type="noConversion"/>
  </si>
  <si>
    <t>23년 6월 마감</t>
    <phoneticPr fontId="1" type="noConversion"/>
  </si>
  <si>
    <t>6월 매입금액</t>
    <phoneticPr fontId="1" type="noConversion"/>
  </si>
  <si>
    <t>6월 마감금액</t>
    <phoneticPr fontId="1" type="noConversion"/>
  </si>
  <si>
    <t>5월 마감금액</t>
    <phoneticPr fontId="1" type="noConversion"/>
  </si>
  <si>
    <t>23년 7월 마감</t>
    <phoneticPr fontId="1" type="noConversion"/>
  </si>
  <si>
    <t>7월 매입금액</t>
    <phoneticPr fontId="1" type="noConversion"/>
  </si>
  <si>
    <t>7월 마감금액</t>
    <phoneticPr fontId="1" type="noConversion"/>
  </si>
  <si>
    <t>세금계산서</t>
    <phoneticPr fontId="1" type="noConversion"/>
  </si>
  <si>
    <t>카드</t>
    <phoneticPr fontId="1" type="noConversion"/>
  </si>
  <si>
    <t>매               입</t>
    <phoneticPr fontId="1" type="noConversion"/>
  </si>
  <si>
    <t xml:space="preserve">매               출 </t>
    <phoneticPr fontId="1" type="noConversion"/>
  </si>
  <si>
    <t>월</t>
    <phoneticPr fontId="1" type="noConversion"/>
  </si>
  <si>
    <t>매출합</t>
    <phoneticPr fontId="1" type="noConversion"/>
  </si>
  <si>
    <t>매입합</t>
    <phoneticPr fontId="1" type="noConversion"/>
  </si>
  <si>
    <t>23년 2분기(4월~6월) 부가세 신고</t>
    <phoneticPr fontId="1" type="noConversion"/>
  </si>
  <si>
    <t>23년 8월 마감</t>
    <phoneticPr fontId="1" type="noConversion"/>
  </si>
  <si>
    <t>8월 매입금액</t>
    <phoneticPr fontId="1" type="noConversion"/>
  </si>
  <si>
    <t>8월 마감금액</t>
    <phoneticPr fontId="1" type="noConversion"/>
  </si>
  <si>
    <t>23년 9월 마감</t>
    <phoneticPr fontId="1" type="noConversion"/>
  </si>
  <si>
    <t>9월 매입금액</t>
    <phoneticPr fontId="1" type="noConversion"/>
  </si>
  <si>
    <t>9월 마감금액</t>
    <phoneticPr fontId="1" type="noConversion"/>
  </si>
  <si>
    <t>23년 10월 마감</t>
    <phoneticPr fontId="1" type="noConversion"/>
  </si>
  <si>
    <t>10월 매입금액</t>
    <phoneticPr fontId="1" type="noConversion"/>
  </si>
  <si>
    <t>10월 마감금액</t>
    <phoneticPr fontId="1" type="noConversion"/>
  </si>
  <si>
    <t>23년 3분기(7월~9월) 부가세 신고</t>
    <phoneticPr fontId="1" type="noConversion"/>
  </si>
  <si>
    <t>23년 11월 마감</t>
    <phoneticPr fontId="1" type="noConversion"/>
  </si>
  <si>
    <t>11월 매입금액</t>
    <phoneticPr fontId="1" type="noConversion"/>
  </si>
  <si>
    <t>11월 마감금액</t>
    <phoneticPr fontId="1" type="noConversion"/>
  </si>
  <si>
    <t>23년 12월 마감</t>
    <phoneticPr fontId="1" type="noConversion"/>
  </si>
  <si>
    <t>12월 매입금액</t>
    <phoneticPr fontId="1" type="noConversion"/>
  </si>
  <si>
    <t>12월 마감금액</t>
    <phoneticPr fontId="1" type="noConversion"/>
  </si>
  <si>
    <t>24년 01월 마감</t>
    <phoneticPr fontId="1" type="noConversion"/>
  </si>
  <si>
    <t>01월 매입금액</t>
    <phoneticPr fontId="1" type="noConversion"/>
  </si>
  <si>
    <t>01월 마감금액</t>
    <phoneticPr fontId="1" type="noConversion"/>
  </si>
  <si>
    <t>24년 02월 마감</t>
    <phoneticPr fontId="1" type="noConversion"/>
  </si>
  <si>
    <t>02월 매입금액</t>
    <phoneticPr fontId="1" type="noConversion"/>
  </si>
  <si>
    <t>02월 마감금액</t>
    <phoneticPr fontId="1" type="noConversion"/>
  </si>
  <si>
    <t>24년 03월 마감</t>
    <phoneticPr fontId="1" type="noConversion"/>
  </si>
  <si>
    <t>03월 매입금액</t>
    <phoneticPr fontId="1" type="noConversion"/>
  </si>
  <si>
    <t>03월 마감금액</t>
    <phoneticPr fontId="1" type="noConversion"/>
  </si>
  <si>
    <t>24년 04월 마감</t>
    <phoneticPr fontId="1" type="noConversion"/>
  </si>
  <si>
    <t>04월 매입금액</t>
    <phoneticPr fontId="1" type="noConversion"/>
  </si>
  <si>
    <t>04월 마감금액</t>
    <phoneticPr fontId="1" type="noConversion"/>
  </si>
  <si>
    <t>24년 1분기(1월~3월) 부가세 신고</t>
    <phoneticPr fontId="1" type="noConversion"/>
  </si>
  <si>
    <t>24년 05월 마감</t>
    <phoneticPr fontId="1" type="noConversion"/>
  </si>
  <si>
    <t>05월 매입금액</t>
    <phoneticPr fontId="1" type="noConversion"/>
  </si>
  <si>
    <t>05월 마감금액</t>
    <phoneticPr fontId="1" type="noConversion"/>
  </si>
  <si>
    <t>24년 06월 마감</t>
    <phoneticPr fontId="1" type="noConversion"/>
  </si>
  <si>
    <t>06월 매입금액</t>
    <phoneticPr fontId="1" type="noConversion"/>
  </si>
  <si>
    <t>06월 마감금액</t>
    <phoneticPr fontId="1" type="noConversion"/>
  </si>
  <si>
    <t>24년 07월 마감</t>
    <phoneticPr fontId="1" type="noConversion"/>
  </si>
  <si>
    <t>07월 매입금액</t>
    <phoneticPr fontId="1" type="noConversion"/>
  </si>
  <si>
    <t>07월 마감금액</t>
    <phoneticPr fontId="1" type="noConversion"/>
  </si>
  <si>
    <t>24년 2분기(4월~6월) 부가세 신고</t>
    <phoneticPr fontId="1" type="noConversion"/>
  </si>
  <si>
    <t>24년 08월 마감</t>
    <phoneticPr fontId="1" type="noConversion"/>
  </si>
  <si>
    <t>08월 매입금액</t>
    <phoneticPr fontId="1" type="noConversion"/>
  </si>
  <si>
    <t>08월 마감금액</t>
    <phoneticPr fontId="1" type="noConversion"/>
  </si>
  <si>
    <t>24년 09월 마감</t>
    <phoneticPr fontId="1" type="noConversion"/>
  </si>
  <si>
    <t>09월 매입금액</t>
    <phoneticPr fontId="1" type="noConversion"/>
  </si>
  <si>
    <t>09월 마감금액</t>
    <phoneticPr fontId="1" type="noConversion"/>
  </si>
  <si>
    <t>24년 10월 마감</t>
    <phoneticPr fontId="1" type="noConversion"/>
  </si>
  <si>
    <t>24년 3분기(7월~9월) 부가세 신고</t>
    <phoneticPr fontId="1" type="noConversion"/>
  </si>
  <si>
    <t>24년 11월 마감</t>
    <phoneticPr fontId="1" type="noConversion"/>
  </si>
  <si>
    <t>24년 12월 마감</t>
    <phoneticPr fontId="1" type="noConversion"/>
  </si>
  <si>
    <t>25년 01월 마감</t>
    <phoneticPr fontId="1" type="noConversion"/>
  </si>
  <si>
    <t>24년 4분기(10월~12월) 부가세 신고</t>
    <phoneticPr fontId="1" type="noConversion"/>
  </si>
  <si>
    <t>25년 02월 마감</t>
    <phoneticPr fontId="1" type="noConversion"/>
  </si>
  <si>
    <t>25년 03월 마감</t>
    <phoneticPr fontId="1" type="noConversion"/>
  </si>
  <si>
    <t>국민 3001-9029-00536-1</t>
    <phoneticPr fontId="1" type="noConversion"/>
  </si>
  <si>
    <t>25년 04월 마감</t>
    <phoneticPr fontId="1" type="noConversion"/>
  </si>
  <si>
    <t>25년 1분기(1월~3월) 부가세 신고</t>
    <phoneticPr fontId="1" type="noConversion"/>
  </si>
  <si>
    <t>25년 05월 마감</t>
    <phoneticPr fontId="1" type="noConversion"/>
  </si>
  <si>
    <t>25년 06월 마감</t>
    <phoneticPr fontId="1" type="noConversion"/>
  </si>
  <si>
    <t>25년 07월 마감</t>
    <phoneticPr fontId="1" type="noConversion"/>
  </si>
  <si>
    <t>25년 2분기(4월~6월) 부가세 신고</t>
    <phoneticPr fontId="1" type="noConversion"/>
  </si>
  <si>
    <t>25년 08월 마감</t>
    <phoneticPr fontId="1" type="noConversion"/>
  </si>
  <si>
    <t>25년 09월 마감</t>
    <phoneticPr fontId="1" type="noConversion"/>
  </si>
  <si>
    <t>25년 10월 마감</t>
    <phoneticPr fontId="1" type="noConversion"/>
  </si>
  <si>
    <t>25년 3분기(7월~9월) 부가세 신고</t>
    <phoneticPr fontId="1" type="noConversion"/>
  </si>
  <si>
    <t>25년 12월 마감</t>
    <phoneticPr fontId="1" type="noConversion"/>
  </si>
  <si>
    <t>본사입금</t>
    <phoneticPr fontId="1" type="noConversion"/>
  </si>
  <si>
    <t>26년 01월 마감</t>
    <phoneticPr fontId="1" type="noConversion"/>
  </si>
  <si>
    <t>25년 4분기(10월~12월) 부가세 신고</t>
    <phoneticPr fontId="1" type="noConversion"/>
  </si>
  <si>
    <t>농협</t>
    <phoneticPr fontId="1" type="noConversion"/>
  </si>
  <si>
    <t>26년 02월 마감</t>
    <phoneticPr fontId="1" type="noConversion"/>
  </si>
  <si>
    <t>26년 03월 마감</t>
    <phoneticPr fontId="1" type="noConversion"/>
  </si>
  <si>
    <t>26년 04월 마감</t>
    <phoneticPr fontId="1" type="noConversion"/>
  </si>
  <si>
    <t>26년 1분기(1월~3월) 부가세 신고</t>
    <phoneticPr fontId="1" type="noConversion"/>
  </si>
  <si>
    <t>26년 05월 마감</t>
    <phoneticPr fontId="1" type="noConversion"/>
  </si>
  <si>
    <t>rkdr</t>
    <phoneticPr fontId="1" type="noConversion"/>
  </si>
  <si>
    <t>26년 06월 마감</t>
    <phoneticPr fontId="1" type="noConversion"/>
  </si>
  <si>
    <t>26년 07월 마감</t>
    <phoneticPr fontId="1" type="noConversion"/>
  </si>
  <si>
    <t>26년 08월 마감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</si>
</sst>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theme="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inor"/>
    </font>
    <font>
      <b/>
      <sz val="20"/>
      <color rgb="FF333333"/>
      <name val="돋움"/>
      <family val="3"/>
      <charset val="129"/>
    </font>
    <font>
      <b/>
      <sz val="20"/>
      <color theme="1"/>
      <name val="맑은 고딕"/>
      <family val="2"/>
      <charset val="129"/>
      <scheme val="minor"/>
    </font>
    <font>
      <b/>
      <sz val="20"/>
      <color theme="1"/>
      <name val="돋움"/>
      <family val="3"/>
      <charset val="129"/>
    </font>
    <font>
      <b/>
      <sz val="25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 inden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7" fillId="0" borderId="0" xfId="0" applyNumberFormat="1" applyFont="1">
      <alignment vertical="center"/>
    </xf>
    <xf numFmtId="3" fontId="9" fillId="0" borderId="0" xfId="0" applyNumberFormat="1" applyFont="1">
      <alignment vertical="center"/>
    </xf>
    <xf numFmtId="0" fontId="10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3" fontId="3" fillId="4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18" Type="http://schemas.openxmlformats.org/officeDocument/2006/relationships/worksheet" Target="worksheets/sheet15.xml"/><Relationship Id="rId26" Type="http://schemas.openxmlformats.org/officeDocument/2006/relationships/worksheet" Target="worksheets/sheet23.xml"/><Relationship Id="rId39" Type="http://schemas.openxmlformats.org/officeDocument/2006/relationships/worksheet" Target="worksheets/sheet36.xml"/><Relationship Id="rId21" Type="http://schemas.openxmlformats.org/officeDocument/2006/relationships/worksheet" Target="worksheets/sheet18.xml"/><Relationship Id="rId34" Type="http://schemas.openxmlformats.org/officeDocument/2006/relationships/worksheet" Target="worksheets/sheet31.xml"/><Relationship Id="rId42" Type="http://schemas.openxmlformats.org/officeDocument/2006/relationships/worksheet" Target="worksheets/sheet39.xml"/><Relationship Id="rId47" Type="http://schemas.openxmlformats.org/officeDocument/2006/relationships/worksheet" Target="worksheets/sheet44.xml"/><Relationship Id="rId50" Type="http://schemas.openxmlformats.org/officeDocument/2006/relationships/worksheet" Target="worksheets/sheet47.xml"/><Relationship Id="rId55" Type="http://schemas.openxmlformats.org/officeDocument/2006/relationships/worksheet" Target="worksheets/sheet52.xml"/><Relationship Id="rId7" Type="http://schemas.openxmlformats.org/officeDocument/2006/relationships/worksheet" Target="worksheets/sheet4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3.xml"/><Relationship Id="rId20" Type="http://schemas.openxmlformats.org/officeDocument/2006/relationships/worksheet" Target="worksheets/sheet17.xml"/><Relationship Id="rId29" Type="http://schemas.openxmlformats.org/officeDocument/2006/relationships/worksheet" Target="worksheets/sheet26.xml"/><Relationship Id="rId41" Type="http://schemas.openxmlformats.org/officeDocument/2006/relationships/worksheet" Target="worksheets/sheet38.xml"/><Relationship Id="rId54" Type="http://schemas.openxmlformats.org/officeDocument/2006/relationships/worksheet" Target="worksheets/sheet5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24" Type="http://schemas.openxmlformats.org/officeDocument/2006/relationships/worksheet" Target="worksheets/sheet21.xml"/><Relationship Id="rId32" Type="http://schemas.openxmlformats.org/officeDocument/2006/relationships/worksheet" Target="worksheets/sheet29.xml"/><Relationship Id="rId37" Type="http://schemas.openxmlformats.org/officeDocument/2006/relationships/worksheet" Target="worksheets/sheet34.xml"/><Relationship Id="rId40" Type="http://schemas.openxmlformats.org/officeDocument/2006/relationships/worksheet" Target="worksheets/sheet37.xml"/><Relationship Id="rId45" Type="http://schemas.openxmlformats.org/officeDocument/2006/relationships/worksheet" Target="worksheets/sheet42.xml"/><Relationship Id="rId53" Type="http://schemas.openxmlformats.org/officeDocument/2006/relationships/worksheet" Target="worksheets/sheet50.xml"/><Relationship Id="rId58" Type="http://schemas.openxmlformats.org/officeDocument/2006/relationships/theme" Target="theme/theme1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23" Type="http://schemas.openxmlformats.org/officeDocument/2006/relationships/worksheet" Target="worksheets/sheet20.xml"/><Relationship Id="rId28" Type="http://schemas.openxmlformats.org/officeDocument/2006/relationships/worksheet" Target="worksheets/sheet25.xml"/><Relationship Id="rId36" Type="http://schemas.openxmlformats.org/officeDocument/2006/relationships/worksheet" Target="worksheets/sheet33.xml"/><Relationship Id="rId49" Type="http://schemas.openxmlformats.org/officeDocument/2006/relationships/worksheet" Target="worksheets/sheet46.xml"/><Relationship Id="rId57" Type="http://schemas.openxmlformats.org/officeDocument/2006/relationships/worksheet" Target="worksheets/sheet54.xml"/><Relationship Id="rId61" Type="http://schemas.openxmlformats.org/officeDocument/2006/relationships/calcChain" Target="calcChain.xml"/><Relationship Id="rId10" Type="http://schemas.openxmlformats.org/officeDocument/2006/relationships/worksheet" Target="worksheets/sheet7.xml"/><Relationship Id="rId19" Type="http://schemas.openxmlformats.org/officeDocument/2006/relationships/worksheet" Target="worksheets/sheet16.xml"/><Relationship Id="rId31" Type="http://schemas.openxmlformats.org/officeDocument/2006/relationships/worksheet" Target="worksheets/sheet28.xml"/><Relationship Id="rId44" Type="http://schemas.openxmlformats.org/officeDocument/2006/relationships/worksheet" Target="worksheets/sheet41.xml"/><Relationship Id="rId52" Type="http://schemas.openxmlformats.org/officeDocument/2006/relationships/worksheet" Target="worksheets/sheet49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worksheet" Target="worksheets/sheet19.xml"/><Relationship Id="rId27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35" Type="http://schemas.openxmlformats.org/officeDocument/2006/relationships/worksheet" Target="worksheets/sheet32.xml"/><Relationship Id="rId43" Type="http://schemas.openxmlformats.org/officeDocument/2006/relationships/worksheet" Target="worksheets/sheet40.xml"/><Relationship Id="rId48" Type="http://schemas.openxmlformats.org/officeDocument/2006/relationships/worksheet" Target="worksheets/sheet45.xml"/><Relationship Id="rId56" Type="http://schemas.openxmlformats.org/officeDocument/2006/relationships/worksheet" Target="worksheets/sheet53.xml"/><Relationship Id="rId8" Type="http://schemas.openxmlformats.org/officeDocument/2006/relationships/worksheet" Target="worksheets/sheet5.xml"/><Relationship Id="rId51" Type="http://schemas.openxmlformats.org/officeDocument/2006/relationships/worksheet" Target="worksheets/sheet48.xml"/><Relationship Id="rId3" Type="http://schemas.openxmlformats.org/officeDocument/2006/relationships/chartsheet" Target="chartsheets/sheet3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25" Type="http://schemas.openxmlformats.org/officeDocument/2006/relationships/worksheet" Target="worksheets/sheet22.xml"/><Relationship Id="rId33" Type="http://schemas.openxmlformats.org/officeDocument/2006/relationships/worksheet" Target="worksheets/sheet30.xml"/><Relationship Id="rId38" Type="http://schemas.openxmlformats.org/officeDocument/2006/relationships/worksheet" Target="worksheets/sheet35.xml"/><Relationship Id="rId46" Type="http://schemas.openxmlformats.org/officeDocument/2006/relationships/worksheet" Target="worksheets/sheet43.xml"/><Relationship Id="rId5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'24년03월'!$A$3:$A$14</c:f>
              <c:strCache>
                <c:ptCount val="12"/>
                <c:pt idx="0">
                  <c:v>03월 매입금액</c:v>
                </c:pt>
                <c:pt idx="1">
                  <c:v>서비스 a/s</c:v>
                </c:pt>
                <c:pt idx="2">
                  <c:v>포인트</c:v>
                </c:pt>
                <c:pt idx="3">
                  <c:v>인센티브</c:v>
                </c:pt>
                <c:pt idx="4">
                  <c:v>구매상계</c:v>
                </c:pt>
                <c:pt idx="5">
                  <c:v>03월 마감금액</c:v>
                </c:pt>
                <c:pt idx="6">
                  <c:v>통장</c:v>
                </c:pt>
                <c:pt idx="7">
                  <c:v>농협</c:v>
                </c:pt>
                <c:pt idx="8">
                  <c:v>기업은행</c:v>
                </c:pt>
                <c:pt idx="10">
                  <c:v>차액</c:v>
                </c:pt>
                <c:pt idx="11">
                  <c:v>국민 3001-9029-005361</c:v>
                </c:pt>
              </c:strCache>
            </c:strRef>
          </c:cat>
          <c:val>
            <c:numRef>
              <c:f>'24년03월'!$B$3:$B$14</c:f>
              <c:numCache>
                <c:formatCode>#,##0</c:formatCode>
                <c:ptCount val="12"/>
                <c:pt idx="0">
                  <c:v>73108541</c:v>
                </c:pt>
                <c:pt idx="1">
                  <c:v>24379586</c:v>
                </c:pt>
                <c:pt idx="2">
                  <c:v>1796700</c:v>
                </c:pt>
                <c:pt idx="3">
                  <c:v>318913</c:v>
                </c:pt>
                <c:pt idx="4">
                  <c:v>0</c:v>
                </c:pt>
                <c:pt idx="5">
                  <c:v>46613342</c:v>
                </c:pt>
                <c:pt idx="6">
                  <c:v>23613342</c:v>
                </c:pt>
                <c:pt idx="7">
                  <c:v>23065259</c:v>
                </c:pt>
                <c:pt idx="8">
                  <c:v>23065199</c:v>
                </c:pt>
                <c:pt idx="9">
                  <c:v>46130458</c:v>
                </c:pt>
                <c:pt idx="10">
                  <c:v>482884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749760"/>
        <c:axId val="257751296"/>
      </c:barChart>
      <c:catAx>
        <c:axId val="257749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57751296"/>
        <c:crosses val="autoZero"/>
        <c:auto val="1"/>
        <c:lblAlgn val="ctr"/>
        <c:lblOffset val="100"/>
        <c:noMultiLvlLbl val="0"/>
      </c:catAx>
      <c:valAx>
        <c:axId val="2577512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57749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'24년03월'!$A$3:$A$14</c:f>
              <c:strCache>
                <c:ptCount val="12"/>
                <c:pt idx="0">
                  <c:v>03월 매입금액</c:v>
                </c:pt>
                <c:pt idx="1">
                  <c:v>서비스 a/s</c:v>
                </c:pt>
                <c:pt idx="2">
                  <c:v>포인트</c:v>
                </c:pt>
                <c:pt idx="3">
                  <c:v>인센티브</c:v>
                </c:pt>
                <c:pt idx="4">
                  <c:v>구매상계</c:v>
                </c:pt>
                <c:pt idx="5">
                  <c:v>03월 마감금액</c:v>
                </c:pt>
                <c:pt idx="6">
                  <c:v>통장</c:v>
                </c:pt>
                <c:pt idx="7">
                  <c:v>농협</c:v>
                </c:pt>
                <c:pt idx="8">
                  <c:v>기업은행</c:v>
                </c:pt>
                <c:pt idx="10">
                  <c:v>차액</c:v>
                </c:pt>
                <c:pt idx="11">
                  <c:v>국민 3001-9029-005361</c:v>
                </c:pt>
              </c:strCache>
            </c:strRef>
          </c:cat>
          <c:val>
            <c:numRef>
              <c:f>'24년03월'!$B$3:$B$14</c:f>
              <c:numCache>
                <c:formatCode>#,##0</c:formatCode>
                <c:ptCount val="12"/>
                <c:pt idx="0">
                  <c:v>73108541</c:v>
                </c:pt>
                <c:pt idx="1">
                  <c:v>24379586</c:v>
                </c:pt>
                <c:pt idx="2">
                  <c:v>1796700</c:v>
                </c:pt>
                <c:pt idx="3">
                  <c:v>318913</c:v>
                </c:pt>
                <c:pt idx="4">
                  <c:v>0</c:v>
                </c:pt>
                <c:pt idx="5">
                  <c:v>46613342</c:v>
                </c:pt>
                <c:pt idx="6">
                  <c:v>23613342</c:v>
                </c:pt>
                <c:pt idx="7">
                  <c:v>23065259</c:v>
                </c:pt>
                <c:pt idx="8">
                  <c:v>23065199</c:v>
                </c:pt>
                <c:pt idx="9">
                  <c:v>46130458</c:v>
                </c:pt>
                <c:pt idx="10">
                  <c:v>482884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923968"/>
        <c:axId val="263925760"/>
      </c:barChart>
      <c:catAx>
        <c:axId val="263923968"/>
        <c:scaling>
          <c:orientation val="minMax"/>
        </c:scaling>
        <c:delete val="0"/>
        <c:axPos val="b"/>
        <c:majorTickMark val="out"/>
        <c:minorTickMark val="none"/>
        <c:tickLblPos val="nextTo"/>
        <c:crossAx val="263925760"/>
        <c:crosses val="autoZero"/>
        <c:auto val="1"/>
        <c:lblAlgn val="ctr"/>
        <c:lblOffset val="100"/>
        <c:noMultiLvlLbl val="0"/>
      </c:catAx>
      <c:valAx>
        <c:axId val="2639257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63923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'25년 04월 '!$A$3:$A$14</c:f>
              <c:strCache>
                <c:ptCount val="12"/>
                <c:pt idx="0">
                  <c:v>04월 매입금액</c:v>
                </c:pt>
                <c:pt idx="1">
                  <c:v>서비스 a/s</c:v>
                </c:pt>
                <c:pt idx="2">
                  <c:v>포인트</c:v>
                </c:pt>
                <c:pt idx="3">
                  <c:v>인센티브</c:v>
                </c:pt>
                <c:pt idx="4">
                  <c:v>구매상계</c:v>
                </c:pt>
                <c:pt idx="5">
                  <c:v>04월 마감금액</c:v>
                </c:pt>
                <c:pt idx="6">
                  <c:v>통장</c:v>
                </c:pt>
                <c:pt idx="7">
                  <c:v>농협</c:v>
                </c:pt>
                <c:pt idx="8">
                  <c:v>기업은행</c:v>
                </c:pt>
                <c:pt idx="10">
                  <c:v>차액</c:v>
                </c:pt>
                <c:pt idx="11">
                  <c:v>국민 3001-9029-00536-1</c:v>
                </c:pt>
              </c:strCache>
            </c:strRef>
          </c:cat>
          <c:val>
            <c:numRef>
              <c:f>'25년 04월 '!$B$3:$B$14</c:f>
              <c:numCache>
                <c:formatCode>#,##0</c:formatCode>
                <c:ptCount val="12"/>
                <c:pt idx="0">
                  <c:v>59103731</c:v>
                </c:pt>
                <c:pt idx="1">
                  <c:v>30785672</c:v>
                </c:pt>
                <c:pt idx="2">
                  <c:v>3053600</c:v>
                </c:pt>
                <c:pt idx="3">
                  <c:v>349794</c:v>
                </c:pt>
                <c:pt idx="4">
                  <c:v>24914665</c:v>
                </c:pt>
                <c:pt idx="5">
                  <c:v>0</c:v>
                </c:pt>
                <c:pt idx="7">
                  <c:v>862718</c:v>
                </c:pt>
                <c:pt idx="8">
                  <c:v>-8471145</c:v>
                </c:pt>
                <c:pt idx="9">
                  <c:v>-7608427</c:v>
                </c:pt>
                <c:pt idx="10">
                  <c:v>7608427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954432"/>
        <c:axId val="263955968"/>
      </c:barChart>
      <c:catAx>
        <c:axId val="263954432"/>
        <c:scaling>
          <c:orientation val="minMax"/>
        </c:scaling>
        <c:delete val="0"/>
        <c:axPos val="b"/>
        <c:majorTickMark val="out"/>
        <c:minorTickMark val="none"/>
        <c:tickLblPos val="nextTo"/>
        <c:crossAx val="263955968"/>
        <c:crosses val="autoZero"/>
        <c:auto val="1"/>
        <c:lblAlgn val="ctr"/>
        <c:lblOffset val="100"/>
        <c:noMultiLvlLbl val="0"/>
      </c:catAx>
      <c:valAx>
        <c:axId val="2639559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63954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0353" cy="6066318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0353" cy="6066318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073" cy="6052632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106</v>
      </c>
      <c r="B1" s="20"/>
    </row>
    <row r="2" spans="1:2" ht="30.6" x14ac:dyDescent="0.3">
      <c r="A2" s="1"/>
      <c r="B2" s="3"/>
    </row>
    <row r="3" spans="1:2" ht="30.6" x14ac:dyDescent="0.3">
      <c r="A3" s="2" t="s">
        <v>69</v>
      </c>
      <c r="B3" s="4">
        <v>104611397</v>
      </c>
    </row>
    <row r="4" spans="1:2" ht="30.6" x14ac:dyDescent="0.3">
      <c r="A4" s="2" t="s">
        <v>0</v>
      </c>
      <c r="B4" s="4">
        <v>21615687</v>
      </c>
    </row>
    <row r="5" spans="1:2" ht="30.6" x14ac:dyDescent="0.3">
      <c r="A5" s="2" t="s">
        <v>1</v>
      </c>
      <c r="B5" s="4">
        <v>8518600</v>
      </c>
    </row>
    <row r="6" spans="1:2" ht="30.6" x14ac:dyDescent="0.3">
      <c r="A6" s="2" t="s">
        <v>2</v>
      </c>
      <c r="B6" s="4">
        <v>778182</v>
      </c>
    </row>
    <row r="7" spans="1:2" ht="30.6" x14ac:dyDescent="0.3">
      <c r="A7" s="2" t="s">
        <v>94</v>
      </c>
      <c r="B7" s="4">
        <v>25000000</v>
      </c>
    </row>
    <row r="8" spans="1:2" ht="30.6" x14ac:dyDescent="0.3">
      <c r="A8" s="2" t="s">
        <v>70</v>
      </c>
      <c r="B8" s="4">
        <f>(B3-B4-B5-B6-B7)</f>
        <v>48698928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19774077</v>
      </c>
    </row>
    <row r="11" spans="1:2" ht="30.6" x14ac:dyDescent="0.3">
      <c r="A11" s="2" t="s">
        <v>5</v>
      </c>
      <c r="B11" s="18">
        <v>19573305</v>
      </c>
    </row>
    <row r="12" spans="1:2" ht="30.6" x14ac:dyDescent="0.3">
      <c r="A12" s="2"/>
      <c r="B12" s="6">
        <f>SUM(B10:B11)</f>
        <v>39347382</v>
      </c>
    </row>
    <row r="13" spans="1:2" ht="30.6" x14ac:dyDescent="0.3">
      <c r="A13" s="2" t="s">
        <v>6</v>
      </c>
      <c r="B13" s="4">
        <f>(B3-B5-B6-B7-B10-B11-B4)</f>
        <v>9351546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3" ht="45.55" customHeight="1" x14ac:dyDescent="0.3">
      <c r="A1" s="19" t="s">
        <v>105</v>
      </c>
      <c r="B1" s="20"/>
    </row>
    <row r="2" spans="1:3" ht="30.6" x14ac:dyDescent="0.3">
      <c r="A2" s="1"/>
      <c r="B2" s="3"/>
    </row>
    <row r="3" spans="1:3" ht="30.6" x14ac:dyDescent="0.3">
      <c r="A3" s="2" t="s">
        <v>65</v>
      </c>
      <c r="B3" s="4">
        <v>106222534</v>
      </c>
    </row>
    <row r="4" spans="1:3" ht="30.6" x14ac:dyDescent="0.3">
      <c r="A4" s="2" t="s">
        <v>0</v>
      </c>
      <c r="B4" s="4">
        <v>25505309</v>
      </c>
    </row>
    <row r="5" spans="1:3" ht="30.6" x14ac:dyDescent="0.3">
      <c r="A5" s="2" t="s">
        <v>1</v>
      </c>
      <c r="B5" s="4">
        <v>5435900</v>
      </c>
    </row>
    <row r="6" spans="1:3" ht="30.6" x14ac:dyDescent="0.3">
      <c r="A6" s="2" t="s">
        <v>2</v>
      </c>
      <c r="B6" s="4">
        <v>1634373</v>
      </c>
    </row>
    <row r="7" spans="1:3" ht="30.6" x14ac:dyDescent="0.3">
      <c r="A7" s="2" t="s">
        <v>94</v>
      </c>
      <c r="B7" s="4">
        <v>73646952</v>
      </c>
    </row>
    <row r="8" spans="1:3" ht="30.6" x14ac:dyDescent="0.3">
      <c r="A8" s="2" t="s">
        <v>66</v>
      </c>
      <c r="B8" s="4">
        <f>(B3-B4-B5-B6-B7)</f>
        <v>0</v>
      </c>
    </row>
    <row r="9" spans="1:3" ht="30.6" x14ac:dyDescent="0.3">
      <c r="A9" s="2" t="s">
        <v>3</v>
      </c>
      <c r="B9" s="4"/>
    </row>
    <row r="10" spans="1:3" ht="30.6" x14ac:dyDescent="0.3">
      <c r="A10" s="2" t="s">
        <v>4</v>
      </c>
      <c r="B10" s="5">
        <v>4600150</v>
      </c>
    </row>
    <row r="11" spans="1:3" ht="30.6" x14ac:dyDescent="0.3">
      <c r="A11" s="2" t="s">
        <v>5</v>
      </c>
      <c r="B11" s="18">
        <v>1036664</v>
      </c>
    </row>
    <row r="12" spans="1:3" ht="30.6" x14ac:dyDescent="0.3">
      <c r="A12" s="2"/>
      <c r="B12" s="6">
        <f>SUM(B10:B11)</f>
        <v>5636814</v>
      </c>
      <c r="C12" t="s">
        <v>103</v>
      </c>
    </row>
    <row r="13" spans="1:3" ht="30.6" x14ac:dyDescent="0.3">
      <c r="A13" s="2" t="s">
        <v>6</v>
      </c>
      <c r="B13" s="4">
        <f>(B3-B5-B6-B7-B10-B11-B4)</f>
        <v>-5636814</v>
      </c>
    </row>
    <row r="14" spans="1:3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B3" workbookViewId="0">
      <selection activeCell="C8" sqref="C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101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4</v>
      </c>
      <c r="B5" s="10">
        <v>49810140</v>
      </c>
      <c r="C5" s="11">
        <v>35334010</v>
      </c>
    </row>
    <row r="6" spans="1:3" ht="25" customHeight="1" x14ac:dyDescent="0.3">
      <c r="A6" s="9">
        <v>5</v>
      </c>
      <c r="B6" s="10">
        <v>60811185</v>
      </c>
      <c r="C6" s="11">
        <v>32215540</v>
      </c>
    </row>
    <row r="7" spans="1:3" ht="25" customHeight="1" x14ac:dyDescent="0.3">
      <c r="A7" s="9">
        <v>6</v>
      </c>
      <c r="B7" s="10">
        <v>68410700</v>
      </c>
      <c r="C7" s="11">
        <v>36327760</v>
      </c>
    </row>
    <row r="8" spans="1:3" ht="25" customHeight="1" x14ac:dyDescent="0.3">
      <c r="A8" s="9"/>
      <c r="B8" s="10">
        <f>SUM(B5:B7)</f>
        <v>179032025</v>
      </c>
      <c r="C8" s="11">
        <f>SUM(C5:C7)</f>
        <v>103877310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4</v>
      </c>
      <c r="B12" s="10">
        <v>93583435</v>
      </c>
      <c r="C12" s="14"/>
    </row>
    <row r="13" spans="1:3" ht="25" customHeight="1" x14ac:dyDescent="0.3">
      <c r="A13" s="13">
        <v>5</v>
      </c>
      <c r="B13" s="10">
        <v>98731380</v>
      </c>
      <c r="C13" s="14"/>
    </row>
    <row r="14" spans="1:3" ht="25" customHeight="1" x14ac:dyDescent="0.3">
      <c r="A14" s="13">
        <v>6</v>
      </c>
      <c r="B14" s="10">
        <v>98794662</v>
      </c>
      <c r="C14" s="14"/>
    </row>
    <row r="15" spans="1:3" ht="25" customHeight="1" x14ac:dyDescent="0.3">
      <c r="A15" s="13"/>
      <c r="B15" s="11">
        <f>SUM(B12:B14)</f>
        <v>291109477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282909335</v>
      </c>
      <c r="B18" s="16">
        <f>(B15+C15)</f>
        <v>291109477</v>
      </c>
      <c r="C18" s="16">
        <f>(A18-B18)</f>
        <v>-8200142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3" ht="45.55" customHeight="1" x14ac:dyDescent="0.3">
      <c r="A1" s="19" t="s">
        <v>104</v>
      </c>
      <c r="B1" s="20"/>
    </row>
    <row r="2" spans="1:3" ht="30.6" x14ac:dyDescent="0.3">
      <c r="A2" s="1"/>
      <c r="B2" s="3"/>
    </row>
    <row r="3" spans="1:3" ht="30.6" x14ac:dyDescent="0.3">
      <c r="A3" s="2" t="s">
        <v>62</v>
      </c>
      <c r="B3" s="4">
        <v>98950307</v>
      </c>
    </row>
    <row r="4" spans="1:3" ht="30.6" x14ac:dyDescent="0.3">
      <c r="A4" s="2" t="s">
        <v>0</v>
      </c>
      <c r="B4" s="4">
        <v>22755326</v>
      </c>
    </row>
    <row r="5" spans="1:3" ht="30.6" x14ac:dyDescent="0.3">
      <c r="A5" s="2" t="s">
        <v>1</v>
      </c>
      <c r="B5" s="4">
        <v>4052700</v>
      </c>
    </row>
    <row r="6" spans="1:3" ht="30.6" x14ac:dyDescent="0.3">
      <c r="A6" s="2" t="s">
        <v>2</v>
      </c>
      <c r="B6" s="4">
        <v>1633684</v>
      </c>
    </row>
    <row r="7" spans="1:3" ht="30.6" x14ac:dyDescent="0.3">
      <c r="A7" s="2" t="s">
        <v>94</v>
      </c>
      <c r="B7" s="4">
        <v>70508597</v>
      </c>
    </row>
    <row r="8" spans="1:3" ht="30.6" x14ac:dyDescent="0.3">
      <c r="A8" s="2" t="s">
        <v>63</v>
      </c>
      <c r="B8" s="4">
        <f>(B3-B4-B5-B6-B7)</f>
        <v>0</v>
      </c>
    </row>
    <row r="9" spans="1:3" ht="30.6" x14ac:dyDescent="0.3">
      <c r="A9" s="2" t="s">
        <v>3</v>
      </c>
      <c r="B9" s="4"/>
    </row>
    <row r="10" spans="1:3" ht="30.6" x14ac:dyDescent="0.3">
      <c r="A10" s="2" t="s">
        <v>4</v>
      </c>
      <c r="B10" s="5">
        <v>7950383</v>
      </c>
    </row>
    <row r="11" spans="1:3" ht="30.6" x14ac:dyDescent="0.3">
      <c r="A11" s="2" t="s">
        <v>5</v>
      </c>
      <c r="B11" s="18">
        <v>6510992</v>
      </c>
    </row>
    <row r="12" spans="1:3" ht="30.6" x14ac:dyDescent="0.3">
      <c r="A12" s="2"/>
      <c r="B12" s="6">
        <f>SUM(B10:B11)</f>
        <v>14461375</v>
      </c>
      <c r="C12" t="s">
        <v>103</v>
      </c>
    </row>
    <row r="13" spans="1:3" ht="30.6" x14ac:dyDescent="0.3">
      <c r="A13" s="2" t="s">
        <v>6</v>
      </c>
      <c r="B13" s="4">
        <f>(B3-B5-B6-B7-B10-B11-B4)</f>
        <v>-14461375</v>
      </c>
    </row>
    <row r="14" spans="1:3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3" ht="45.55" customHeight="1" x14ac:dyDescent="0.3">
      <c r="A1" s="19" t="s">
        <v>102</v>
      </c>
      <c r="B1" s="20"/>
    </row>
    <row r="2" spans="1:3" ht="30.6" x14ac:dyDescent="0.3">
      <c r="A2" s="1"/>
      <c r="B2" s="3"/>
    </row>
    <row r="3" spans="1:3" ht="30.6" x14ac:dyDescent="0.3">
      <c r="A3" s="2" t="s">
        <v>59</v>
      </c>
      <c r="B3" s="4">
        <v>91224369</v>
      </c>
    </row>
    <row r="4" spans="1:3" ht="30.6" x14ac:dyDescent="0.3">
      <c r="A4" s="2" t="s">
        <v>0</v>
      </c>
      <c r="B4" s="4">
        <v>27886545</v>
      </c>
    </row>
    <row r="5" spans="1:3" ht="30.6" x14ac:dyDescent="0.3">
      <c r="A5" s="2" t="s">
        <v>1</v>
      </c>
      <c r="B5" s="4">
        <v>3974400</v>
      </c>
    </row>
    <row r="6" spans="1:3" ht="30.6" x14ac:dyDescent="0.3">
      <c r="A6" s="2" t="s">
        <v>2</v>
      </c>
      <c r="B6" s="4">
        <v>1981058</v>
      </c>
    </row>
    <row r="7" spans="1:3" ht="30.6" x14ac:dyDescent="0.3">
      <c r="A7" s="2" t="s">
        <v>94</v>
      </c>
      <c r="B7" s="4">
        <v>57382366</v>
      </c>
    </row>
    <row r="8" spans="1:3" ht="30.6" x14ac:dyDescent="0.3">
      <c r="A8" s="2" t="s">
        <v>60</v>
      </c>
      <c r="B8" s="4">
        <f>(B3-B4-B5-B6-B7)</f>
        <v>0</v>
      </c>
    </row>
    <row r="9" spans="1:3" ht="30.6" x14ac:dyDescent="0.3">
      <c r="A9" s="2" t="s">
        <v>3</v>
      </c>
      <c r="B9" s="4"/>
    </row>
    <row r="10" spans="1:3" ht="30.6" x14ac:dyDescent="0.3">
      <c r="A10" s="2" t="s">
        <v>4</v>
      </c>
      <c r="B10" s="5">
        <v>8781734</v>
      </c>
    </row>
    <row r="11" spans="1:3" ht="30.6" x14ac:dyDescent="0.3">
      <c r="A11" s="2" t="s">
        <v>5</v>
      </c>
      <c r="B11" s="18">
        <v>5354766</v>
      </c>
    </row>
    <row r="12" spans="1:3" ht="30.6" x14ac:dyDescent="0.3">
      <c r="A12" s="2"/>
      <c r="B12" s="6">
        <f>SUM(B10:B11)</f>
        <v>14136500</v>
      </c>
      <c r="C12" t="s">
        <v>103</v>
      </c>
    </row>
    <row r="13" spans="1:3" ht="30.6" x14ac:dyDescent="0.3">
      <c r="A13" s="2" t="s">
        <v>6</v>
      </c>
      <c r="B13" s="4">
        <f>(B3-B5-B6-B7-B10-B11-B4)</f>
        <v>-14136500</v>
      </c>
    </row>
    <row r="14" spans="1:3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100</v>
      </c>
      <c r="B1" s="20"/>
    </row>
    <row r="2" spans="1:2" ht="30.6" x14ac:dyDescent="0.3">
      <c r="A2" s="1"/>
      <c r="B2" s="3"/>
    </row>
    <row r="3" spans="1:2" ht="30.6" x14ac:dyDescent="0.3">
      <c r="A3" s="2" t="s">
        <v>55</v>
      </c>
      <c r="B3" s="4">
        <v>67242356</v>
      </c>
    </row>
    <row r="4" spans="1:2" ht="30.6" x14ac:dyDescent="0.3">
      <c r="A4" s="2" t="s">
        <v>0</v>
      </c>
      <c r="B4" s="4">
        <v>21462243</v>
      </c>
    </row>
    <row r="5" spans="1:2" ht="30.6" x14ac:dyDescent="0.3">
      <c r="A5" s="2" t="s">
        <v>1</v>
      </c>
      <c r="B5" s="4">
        <v>8774800</v>
      </c>
    </row>
    <row r="6" spans="1:2" ht="30.6" x14ac:dyDescent="0.3">
      <c r="A6" s="2" t="s">
        <v>2</v>
      </c>
      <c r="B6" s="4">
        <v>149856</v>
      </c>
    </row>
    <row r="7" spans="1:2" ht="30.6" x14ac:dyDescent="0.3">
      <c r="A7" s="2" t="s">
        <v>94</v>
      </c>
      <c r="B7" s="4">
        <v>36855457</v>
      </c>
    </row>
    <row r="8" spans="1:2" ht="30.6" x14ac:dyDescent="0.3">
      <c r="A8" s="2" t="s">
        <v>56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8701809</v>
      </c>
    </row>
    <row r="11" spans="1:2" ht="30.6" x14ac:dyDescent="0.3">
      <c r="A11" s="2" t="s">
        <v>5</v>
      </c>
      <c r="B11" s="18">
        <v>-767503</v>
      </c>
    </row>
    <row r="12" spans="1:2" ht="30.6" x14ac:dyDescent="0.3">
      <c r="A12" s="2"/>
      <c r="B12" s="6">
        <f>SUM(B10:B11)</f>
        <v>7934306</v>
      </c>
    </row>
    <row r="13" spans="1:2" ht="30.6" x14ac:dyDescent="0.3">
      <c r="A13" s="2" t="s">
        <v>6</v>
      </c>
      <c r="B13" s="4">
        <f>(B3-B5-B6-B7-B10-B11-B4)</f>
        <v>-7934306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2" workbookViewId="0">
      <selection activeCell="C8" sqref="C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101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</v>
      </c>
      <c r="B5" s="10">
        <v>47749435</v>
      </c>
      <c r="C5" s="11">
        <v>25902070</v>
      </c>
    </row>
    <row r="6" spans="1:3" ht="25" customHeight="1" x14ac:dyDescent="0.3">
      <c r="A6" s="9">
        <v>2</v>
      </c>
      <c r="B6" s="10">
        <v>41299450</v>
      </c>
      <c r="C6" s="11">
        <v>26955100</v>
      </c>
    </row>
    <row r="7" spans="1:3" ht="25" customHeight="1" x14ac:dyDescent="0.3">
      <c r="A7" s="9">
        <v>3</v>
      </c>
      <c r="B7" s="10">
        <v>66225775</v>
      </c>
      <c r="C7" s="11">
        <v>28803370</v>
      </c>
    </row>
    <row r="8" spans="1:3" ht="25" customHeight="1" x14ac:dyDescent="0.3">
      <c r="A8" s="9"/>
      <c r="B8" s="10">
        <f>SUM(B5:B7)</f>
        <v>155274660</v>
      </c>
      <c r="C8" s="11">
        <f>SUM(C5:C7)</f>
        <v>81660540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</v>
      </c>
      <c r="B12" s="10">
        <v>82359283</v>
      </c>
      <c r="C12" s="14"/>
    </row>
    <row r="13" spans="1:3" ht="25" customHeight="1" x14ac:dyDescent="0.3">
      <c r="A13" s="13">
        <v>2</v>
      </c>
      <c r="B13" s="10">
        <v>63549225</v>
      </c>
      <c r="C13" s="14"/>
    </row>
    <row r="14" spans="1:3" ht="25" customHeight="1" x14ac:dyDescent="0.3">
      <c r="A14" s="13">
        <v>3</v>
      </c>
      <c r="B14" s="10">
        <v>86483831</v>
      </c>
      <c r="C14" s="14"/>
    </row>
    <row r="15" spans="1:3" ht="25" customHeight="1" x14ac:dyDescent="0.3">
      <c r="A15" s="13"/>
      <c r="B15" s="11">
        <f>SUM(B12:B14)</f>
        <v>232392339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236935200</v>
      </c>
      <c r="B18" s="16">
        <f>(B15+C15)</f>
        <v>232392339</v>
      </c>
      <c r="C18" s="16">
        <f>(A18-B18)</f>
        <v>4542861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8" sqref="B8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99</v>
      </c>
      <c r="B1" s="20"/>
    </row>
    <row r="2" spans="1:2" ht="30.6" x14ac:dyDescent="0.3">
      <c r="A2" s="1"/>
      <c r="B2" s="3"/>
    </row>
    <row r="3" spans="1:2" ht="30.6" x14ac:dyDescent="0.3">
      <c r="A3" s="2" t="s">
        <v>52</v>
      </c>
      <c r="B3" s="4">
        <v>87862797</v>
      </c>
    </row>
    <row r="4" spans="1:2" ht="30.6" x14ac:dyDescent="0.3">
      <c r="A4" s="2" t="s">
        <v>0</v>
      </c>
      <c r="B4" s="4">
        <v>18817760</v>
      </c>
    </row>
    <row r="5" spans="1:2" ht="30.6" x14ac:dyDescent="0.3">
      <c r="A5" s="2" t="s">
        <v>1</v>
      </c>
      <c r="B5" s="4">
        <v>4448900</v>
      </c>
    </row>
    <row r="6" spans="1:2" ht="30.6" x14ac:dyDescent="0.3">
      <c r="A6" s="2" t="s">
        <v>2</v>
      </c>
      <c r="B6" s="4">
        <v>194229</v>
      </c>
    </row>
    <row r="7" spans="1:2" ht="30.6" x14ac:dyDescent="0.3">
      <c r="A7" s="2" t="s">
        <v>94</v>
      </c>
      <c r="B7" s="4">
        <v>64401908</v>
      </c>
    </row>
    <row r="8" spans="1:2" ht="30.6" x14ac:dyDescent="0.3">
      <c r="A8" s="2" t="s">
        <v>53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1179291</v>
      </c>
    </row>
    <row r="11" spans="1:2" ht="30.6" x14ac:dyDescent="0.3">
      <c r="A11" s="2" t="s">
        <v>5</v>
      </c>
      <c r="B11" s="18">
        <v>-11809750</v>
      </c>
    </row>
    <row r="12" spans="1:2" ht="30.6" x14ac:dyDescent="0.3">
      <c r="A12" s="2"/>
      <c r="B12" s="6">
        <f>SUM(B10:B11)</f>
        <v>-10630459</v>
      </c>
    </row>
    <row r="13" spans="1:2" ht="30.6" x14ac:dyDescent="0.3">
      <c r="A13" s="2" t="s">
        <v>6</v>
      </c>
      <c r="B13" s="4">
        <f>(B3-B5-B6-B7-B10-B11-B4)</f>
        <v>10630459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8" sqref="B8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98</v>
      </c>
      <c r="B1" s="20"/>
    </row>
    <row r="2" spans="1:2" ht="30.6" x14ac:dyDescent="0.3">
      <c r="A2" s="1"/>
      <c r="B2" s="3"/>
    </row>
    <row r="3" spans="1:2" ht="30.6" x14ac:dyDescent="0.3">
      <c r="A3" s="2" t="s">
        <v>49</v>
      </c>
      <c r="B3" s="4">
        <v>89513517</v>
      </c>
    </row>
    <row r="4" spans="1:2" ht="30.6" x14ac:dyDescent="0.3">
      <c r="A4" s="2" t="s">
        <v>0</v>
      </c>
      <c r="B4" s="4">
        <v>16197060</v>
      </c>
    </row>
    <row r="5" spans="1:2" ht="30.6" x14ac:dyDescent="0.3">
      <c r="A5" s="2" t="s">
        <v>1</v>
      </c>
      <c r="B5" s="4">
        <v>14120900</v>
      </c>
    </row>
    <row r="6" spans="1:2" ht="30.6" x14ac:dyDescent="0.3">
      <c r="A6" s="2" t="s">
        <v>2</v>
      </c>
      <c r="B6" s="4">
        <v>1247622</v>
      </c>
    </row>
    <row r="7" spans="1:2" ht="30.6" x14ac:dyDescent="0.3">
      <c r="A7" s="2" t="s">
        <v>94</v>
      </c>
      <c r="B7" s="4">
        <v>17947935</v>
      </c>
    </row>
    <row r="8" spans="1:2" ht="30.6" x14ac:dyDescent="0.3">
      <c r="A8" s="2" t="s">
        <v>50</v>
      </c>
      <c r="B8" s="4">
        <f>(B3-B4-B5-B6-B7)</f>
        <v>40000000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42447244</v>
      </c>
    </row>
    <row r="11" spans="1:2" ht="30.6" x14ac:dyDescent="0.3">
      <c r="A11" s="2" t="s">
        <v>5</v>
      </c>
      <c r="B11" s="18">
        <v>18162844</v>
      </c>
    </row>
    <row r="12" spans="1:2" ht="30.6" x14ac:dyDescent="0.3">
      <c r="A12" s="2"/>
      <c r="B12" s="6">
        <f>SUM(B10:B11)</f>
        <v>60610088</v>
      </c>
    </row>
    <row r="13" spans="1:2" ht="30.6" x14ac:dyDescent="0.3">
      <c r="A13" s="2" t="s">
        <v>6</v>
      </c>
      <c r="B13" s="4">
        <f>(B3-B5-B6-B7-B10-B11-B4)</f>
        <v>-20610088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95</v>
      </c>
      <c r="B1" s="20"/>
    </row>
    <row r="2" spans="1:2" ht="30.6" x14ac:dyDescent="0.3">
      <c r="A2" s="1"/>
      <c r="B2" s="3"/>
    </row>
    <row r="3" spans="1:2" ht="30.6" x14ac:dyDescent="0.3">
      <c r="A3" s="2" t="s">
        <v>46</v>
      </c>
      <c r="B3" s="4">
        <v>85528239</v>
      </c>
    </row>
    <row r="4" spans="1:2" ht="30.6" x14ac:dyDescent="0.3">
      <c r="A4" s="2" t="s">
        <v>0</v>
      </c>
      <c r="B4" s="4">
        <v>14617960</v>
      </c>
    </row>
    <row r="5" spans="1:2" ht="30.6" x14ac:dyDescent="0.3">
      <c r="A5" s="2" t="s">
        <v>1</v>
      </c>
      <c r="B5" s="4">
        <v>2459770</v>
      </c>
    </row>
    <row r="6" spans="1:2" ht="30.6" x14ac:dyDescent="0.3">
      <c r="A6" s="2" t="s">
        <v>2</v>
      </c>
      <c r="B6" s="4">
        <v>1586321</v>
      </c>
    </row>
    <row r="7" spans="1:2" ht="30.6" x14ac:dyDescent="0.3">
      <c r="A7" s="2" t="s">
        <v>94</v>
      </c>
      <c r="B7" s="4">
        <v>66864188</v>
      </c>
    </row>
    <row r="8" spans="1:2" ht="30.6" x14ac:dyDescent="0.3">
      <c r="A8" s="2" t="s">
        <v>47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97</v>
      </c>
      <c r="B10" s="5">
        <v>6157082</v>
      </c>
    </row>
    <row r="11" spans="1:2" ht="30.6" x14ac:dyDescent="0.3">
      <c r="A11" s="2" t="s">
        <v>5</v>
      </c>
      <c r="B11" s="18">
        <v>7314748</v>
      </c>
    </row>
    <row r="12" spans="1:2" ht="30.6" x14ac:dyDescent="0.3">
      <c r="A12" s="2"/>
      <c r="B12" s="6">
        <f>SUM(B10:B11)</f>
        <v>13471830</v>
      </c>
    </row>
    <row r="13" spans="1:2" ht="30.6" x14ac:dyDescent="0.3">
      <c r="A13" s="2" t="s">
        <v>6</v>
      </c>
      <c r="B13" s="4">
        <f>(B3-B5-B6-B7-B10-B11-B4)</f>
        <v>-13471830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2" workbookViewId="0">
      <selection activeCell="B25" sqref="B25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96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10</v>
      </c>
      <c r="B5" s="10">
        <v>40202805</v>
      </c>
      <c r="C5" s="11">
        <v>36128150</v>
      </c>
    </row>
    <row r="6" spans="1:3" ht="25" customHeight="1" x14ac:dyDescent="0.3">
      <c r="A6" s="9">
        <v>11</v>
      </c>
      <c r="B6" s="10">
        <v>58338990</v>
      </c>
      <c r="C6" s="11">
        <v>44691570</v>
      </c>
    </row>
    <row r="7" spans="1:3" ht="25" customHeight="1" x14ac:dyDescent="0.3">
      <c r="A7" s="9">
        <v>12</v>
      </c>
      <c r="B7" s="10">
        <v>58338990</v>
      </c>
      <c r="C7" s="11">
        <v>45524600</v>
      </c>
    </row>
    <row r="8" spans="1:3" ht="25" customHeight="1" x14ac:dyDescent="0.3">
      <c r="A8" s="9"/>
      <c r="B8" s="10">
        <f>SUM(B5:B7)</f>
        <v>156880785</v>
      </c>
      <c r="C8" s="11">
        <f>SUM(C5:C7)</f>
        <v>126344320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10</v>
      </c>
      <c r="B12" s="10">
        <v>91929012</v>
      </c>
      <c r="C12" s="14"/>
    </row>
    <row r="13" spans="1:3" ht="25" customHeight="1" x14ac:dyDescent="0.3">
      <c r="A13" s="13">
        <v>11</v>
      </c>
      <c r="B13" s="10">
        <v>80728348</v>
      </c>
      <c r="C13" s="14"/>
    </row>
    <row r="14" spans="1:3" ht="25" customHeight="1" x14ac:dyDescent="0.3">
      <c r="A14" s="13">
        <v>12</v>
      </c>
      <c r="B14" s="10">
        <v>81375923</v>
      </c>
      <c r="C14" s="14"/>
    </row>
    <row r="15" spans="1:3" ht="25" customHeight="1" x14ac:dyDescent="0.3">
      <c r="A15" s="13"/>
      <c r="B15" s="11">
        <f>SUM(B12:B14)</f>
        <v>254033283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283225105</v>
      </c>
      <c r="B18" s="16">
        <f>(B15+C15)</f>
        <v>254033283</v>
      </c>
      <c r="C18" s="16">
        <f>(A18-B18)</f>
        <v>29191822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93</v>
      </c>
      <c r="B1" s="20"/>
    </row>
    <row r="2" spans="1:2" ht="30.6" x14ac:dyDescent="0.3">
      <c r="A2" s="1"/>
      <c r="B2" s="3"/>
    </row>
    <row r="3" spans="1:2" ht="30.6" x14ac:dyDescent="0.3">
      <c r="A3" s="2" t="s">
        <v>43</v>
      </c>
      <c r="B3" s="4">
        <v>95697904</v>
      </c>
    </row>
    <row r="4" spans="1:2" ht="30.6" x14ac:dyDescent="0.3">
      <c r="A4" s="2" t="s">
        <v>0</v>
      </c>
      <c r="B4" s="4">
        <v>26223934</v>
      </c>
    </row>
    <row r="5" spans="1:2" ht="30.6" x14ac:dyDescent="0.3">
      <c r="A5" s="2" t="s">
        <v>1</v>
      </c>
      <c r="B5" s="4">
        <v>7293100</v>
      </c>
    </row>
    <row r="6" spans="1:2" ht="30.6" x14ac:dyDescent="0.3">
      <c r="A6" s="2" t="s">
        <v>2</v>
      </c>
      <c r="B6" s="4">
        <v>1197047</v>
      </c>
    </row>
    <row r="7" spans="1:2" ht="30.6" x14ac:dyDescent="0.3">
      <c r="A7" s="2" t="s">
        <v>94</v>
      </c>
      <c r="B7" s="4">
        <v>60983823</v>
      </c>
    </row>
    <row r="8" spans="1:2" ht="30.6" x14ac:dyDescent="0.3">
      <c r="A8" s="2" t="s">
        <v>44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29333792</v>
      </c>
    </row>
    <row r="11" spans="1:2" ht="30.6" x14ac:dyDescent="0.3">
      <c r="A11" s="2" t="s">
        <v>5</v>
      </c>
      <c r="B11" s="18">
        <v>17593441</v>
      </c>
    </row>
    <row r="12" spans="1:2" ht="30.6" x14ac:dyDescent="0.3">
      <c r="A12" s="2"/>
      <c r="B12" s="6">
        <f>SUM(B10:B11)</f>
        <v>46927233</v>
      </c>
    </row>
    <row r="13" spans="1:2" ht="30.6" x14ac:dyDescent="0.3">
      <c r="A13" s="2" t="s">
        <v>6</v>
      </c>
      <c r="B13" s="4">
        <f>(B3-B5-B6-B7-B10-B11-B4)</f>
        <v>-46927233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A16" sqref="A16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91</v>
      </c>
      <c r="B1" s="20"/>
    </row>
    <row r="2" spans="1:2" ht="30.6" x14ac:dyDescent="0.3">
      <c r="A2" s="1"/>
      <c r="B2" s="3"/>
    </row>
    <row r="3" spans="1:2" ht="30.6" x14ac:dyDescent="0.3">
      <c r="A3" s="2" t="s">
        <v>36</v>
      </c>
      <c r="B3" s="4">
        <v>112659094</v>
      </c>
    </row>
    <row r="4" spans="1:2" ht="30.6" x14ac:dyDescent="0.3">
      <c r="A4" s="2" t="s">
        <v>0</v>
      </c>
      <c r="B4" s="4">
        <v>25200318</v>
      </c>
    </row>
    <row r="5" spans="1:2" ht="30.6" x14ac:dyDescent="0.3">
      <c r="A5" s="2" t="s">
        <v>1</v>
      </c>
      <c r="B5" s="4">
        <v>11945500</v>
      </c>
    </row>
    <row r="6" spans="1:2" ht="30.6" x14ac:dyDescent="0.3">
      <c r="A6" s="2" t="s">
        <v>2</v>
      </c>
      <c r="B6" s="4">
        <v>1933621</v>
      </c>
    </row>
    <row r="7" spans="1:2" ht="30.6" x14ac:dyDescent="0.3">
      <c r="A7" s="2" t="s">
        <v>9</v>
      </c>
      <c r="B7" s="4">
        <v>45000000</v>
      </c>
    </row>
    <row r="8" spans="1:2" ht="30.6" x14ac:dyDescent="0.3">
      <c r="A8" s="2" t="s">
        <v>37</v>
      </c>
      <c r="B8" s="4">
        <f>(B3-B4-B5-B6-B7)</f>
        <v>28579655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16416012</v>
      </c>
    </row>
    <row r="11" spans="1:2" ht="30.6" x14ac:dyDescent="0.3">
      <c r="A11" s="2" t="s">
        <v>5</v>
      </c>
      <c r="B11" s="18">
        <v>12377361</v>
      </c>
    </row>
    <row r="12" spans="1:2" ht="30.6" x14ac:dyDescent="0.3">
      <c r="A12" s="2"/>
      <c r="B12" s="6">
        <f>SUM(B10:B11)</f>
        <v>28793373</v>
      </c>
    </row>
    <row r="13" spans="1:2" ht="30.6" x14ac:dyDescent="0.3">
      <c r="A13" s="2" t="s">
        <v>6</v>
      </c>
      <c r="B13" s="4">
        <f>(B3-B5-B6-B7-B10-B11-B4)</f>
        <v>-213718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91</v>
      </c>
      <c r="B1" s="20"/>
    </row>
    <row r="2" spans="1:2" ht="30.6" x14ac:dyDescent="0.3">
      <c r="A2" s="1"/>
      <c r="B2" s="3"/>
    </row>
    <row r="3" spans="1:2" ht="30.6" x14ac:dyDescent="0.3">
      <c r="A3" s="2" t="s">
        <v>36</v>
      </c>
      <c r="B3" s="4">
        <v>74993419</v>
      </c>
    </row>
    <row r="4" spans="1:2" ht="30.6" x14ac:dyDescent="0.3">
      <c r="A4" s="2" t="s">
        <v>0</v>
      </c>
      <c r="B4" s="4">
        <v>25083052</v>
      </c>
    </row>
    <row r="5" spans="1:2" ht="30.6" x14ac:dyDescent="0.3">
      <c r="A5" s="2" t="s">
        <v>1</v>
      </c>
      <c r="B5" s="4">
        <v>3872400</v>
      </c>
    </row>
    <row r="6" spans="1:2" ht="30.6" x14ac:dyDescent="0.3">
      <c r="A6" s="2" t="s">
        <v>2</v>
      </c>
      <c r="B6" s="4">
        <v>1939065</v>
      </c>
    </row>
    <row r="7" spans="1:2" ht="30.6" x14ac:dyDescent="0.3">
      <c r="A7" s="2" t="s">
        <v>9</v>
      </c>
      <c r="B7" s="4">
        <v>44098902</v>
      </c>
    </row>
    <row r="8" spans="1:2" ht="30.6" x14ac:dyDescent="0.3">
      <c r="A8" s="2" t="s">
        <v>37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12392557</v>
      </c>
    </row>
    <row r="11" spans="1:2" ht="30.6" x14ac:dyDescent="0.3">
      <c r="A11" s="2" t="s">
        <v>5</v>
      </c>
      <c r="B11" s="18">
        <v>7588405</v>
      </c>
    </row>
    <row r="12" spans="1:2" ht="30.6" x14ac:dyDescent="0.3">
      <c r="A12" s="2"/>
      <c r="B12" s="6">
        <f>SUM(B10:B11)</f>
        <v>19980962</v>
      </c>
    </row>
    <row r="13" spans="1:2" ht="30.6" x14ac:dyDescent="0.3">
      <c r="A13" s="2" t="s">
        <v>6</v>
      </c>
      <c r="B13" s="4">
        <f>(B3-B5-B6-B7-B10-B11-B4)</f>
        <v>-19980962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8" sqref="B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92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7</v>
      </c>
      <c r="B5" s="10">
        <v>44389835</v>
      </c>
      <c r="C5" s="11">
        <v>45625200</v>
      </c>
    </row>
    <row r="6" spans="1:3" ht="25" customHeight="1" x14ac:dyDescent="0.3">
      <c r="A6" s="9">
        <v>8</v>
      </c>
      <c r="B6" s="10">
        <v>55007860</v>
      </c>
      <c r="C6" s="11">
        <v>32934580</v>
      </c>
    </row>
    <row r="7" spans="1:3" ht="25" customHeight="1" x14ac:dyDescent="0.3">
      <c r="A7" s="9">
        <v>9</v>
      </c>
      <c r="B7" s="10">
        <v>61508745</v>
      </c>
      <c r="C7" s="11">
        <v>37756260</v>
      </c>
    </row>
    <row r="8" spans="1:3" ht="25" customHeight="1" x14ac:dyDescent="0.3">
      <c r="A8" s="9"/>
      <c r="B8" s="10">
        <f>SUM(B5:B7)</f>
        <v>160906440</v>
      </c>
      <c r="C8" s="11">
        <f>SUM(C5:C7)</f>
        <v>116316040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7</v>
      </c>
      <c r="B12" s="10">
        <v>79854309</v>
      </c>
      <c r="C12" s="14"/>
    </row>
    <row r="13" spans="1:3" ht="25" customHeight="1" x14ac:dyDescent="0.3">
      <c r="A13" s="13">
        <v>8</v>
      </c>
      <c r="B13" s="10">
        <v>70334444</v>
      </c>
      <c r="C13" s="14"/>
    </row>
    <row r="14" spans="1:3" ht="25" customHeight="1" x14ac:dyDescent="0.3">
      <c r="A14" s="13">
        <v>9</v>
      </c>
      <c r="B14" s="10">
        <v>108631926</v>
      </c>
      <c r="C14" s="14"/>
    </row>
    <row r="15" spans="1:3" ht="25" customHeight="1" x14ac:dyDescent="0.3">
      <c r="A15" s="13"/>
      <c r="B15" s="11">
        <f>SUM(B12:B14)</f>
        <v>258820679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277222480</v>
      </c>
      <c r="B18" s="16">
        <f>(B15+C15)</f>
        <v>258820679</v>
      </c>
      <c r="C18" s="16">
        <f>(A18-B18)</f>
        <v>18401801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90</v>
      </c>
      <c r="B1" s="20"/>
    </row>
    <row r="2" spans="1:2" ht="30.6" x14ac:dyDescent="0.3">
      <c r="A2" s="1"/>
      <c r="B2" s="3"/>
    </row>
    <row r="3" spans="1:2" ht="30.6" x14ac:dyDescent="0.3">
      <c r="A3" s="2" t="s">
        <v>72</v>
      </c>
      <c r="B3" s="4">
        <v>80268147</v>
      </c>
    </row>
    <row r="4" spans="1:2" ht="30.6" x14ac:dyDescent="0.3">
      <c r="A4" s="2" t="s">
        <v>0</v>
      </c>
      <c r="B4" s="4">
        <v>21158516</v>
      </c>
    </row>
    <row r="5" spans="1:2" ht="30.6" x14ac:dyDescent="0.3">
      <c r="A5" s="2" t="s">
        <v>1</v>
      </c>
      <c r="B5" s="4">
        <v>2282520</v>
      </c>
    </row>
    <row r="6" spans="1:2" ht="30.6" x14ac:dyDescent="0.3">
      <c r="A6" s="2" t="s">
        <v>2</v>
      </c>
      <c r="B6" s="4">
        <v>461721</v>
      </c>
    </row>
    <row r="7" spans="1:2" ht="30.6" x14ac:dyDescent="0.3">
      <c r="A7" s="2" t="s">
        <v>9</v>
      </c>
      <c r="B7" s="4">
        <v>56365390</v>
      </c>
    </row>
    <row r="8" spans="1:2" ht="30.6" x14ac:dyDescent="0.3">
      <c r="A8" s="2" t="s">
        <v>73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10808047</v>
      </c>
    </row>
    <row r="11" spans="1:2" ht="30.6" x14ac:dyDescent="0.3">
      <c r="A11" s="2" t="s">
        <v>5</v>
      </c>
      <c r="B11" s="18">
        <v>8969634</v>
      </c>
    </row>
    <row r="12" spans="1:2" ht="30.6" x14ac:dyDescent="0.3">
      <c r="A12" s="2"/>
      <c r="B12" s="6">
        <f>SUM(B10:B11)</f>
        <v>19777681</v>
      </c>
    </row>
    <row r="13" spans="1:2" ht="30.6" x14ac:dyDescent="0.3">
      <c r="A13" s="2" t="s">
        <v>6</v>
      </c>
      <c r="B13" s="4">
        <f>(B3-B5-B6-B7-B10-B11-B4)</f>
        <v>-19777681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89</v>
      </c>
      <c r="B1" s="20"/>
    </row>
    <row r="2" spans="1:2" ht="30.6" x14ac:dyDescent="0.3">
      <c r="A2" s="1"/>
      <c r="B2" s="3"/>
    </row>
    <row r="3" spans="1:2" ht="30.6" x14ac:dyDescent="0.3">
      <c r="A3" s="2" t="s">
        <v>69</v>
      </c>
      <c r="B3" s="4">
        <v>86610456</v>
      </c>
    </row>
    <row r="4" spans="1:2" ht="30.6" x14ac:dyDescent="0.3">
      <c r="A4" s="2" t="s">
        <v>0</v>
      </c>
      <c r="B4" s="4">
        <v>16845499</v>
      </c>
    </row>
    <row r="5" spans="1:2" ht="30.6" x14ac:dyDescent="0.3">
      <c r="A5" s="2" t="s">
        <v>1</v>
      </c>
      <c r="B5" s="4">
        <v>5444760</v>
      </c>
    </row>
    <row r="6" spans="1:2" ht="30.6" x14ac:dyDescent="0.3">
      <c r="A6" s="2" t="s">
        <v>2</v>
      </c>
      <c r="B6" s="4">
        <v>466753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70</v>
      </c>
      <c r="B8" s="4">
        <f>(B3-B4-B5-B6-B7)</f>
        <v>63853444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41072507</v>
      </c>
    </row>
    <row r="11" spans="1:2" ht="30.6" x14ac:dyDescent="0.3">
      <c r="A11" s="2" t="s">
        <v>5</v>
      </c>
      <c r="B11" s="18">
        <v>20842094</v>
      </c>
    </row>
    <row r="12" spans="1:2" ht="30.6" x14ac:dyDescent="0.3">
      <c r="A12" s="2"/>
      <c r="B12" s="6">
        <f>SUM(B10:B11)</f>
        <v>61914601</v>
      </c>
    </row>
    <row r="13" spans="1:2" ht="30.6" x14ac:dyDescent="0.3">
      <c r="A13" s="2" t="s">
        <v>6</v>
      </c>
      <c r="B13" s="4">
        <f>(B3-B5-B6-B7-B10-B11-B4)</f>
        <v>1938843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8" sqref="C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88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</v>
      </c>
      <c r="B5" s="10">
        <v>59726245</v>
      </c>
      <c r="C5" s="11">
        <v>27962050</v>
      </c>
    </row>
    <row r="6" spans="1:3" ht="25" customHeight="1" x14ac:dyDescent="0.3">
      <c r="A6" s="9">
        <v>2</v>
      </c>
      <c r="B6" s="10">
        <v>44329355</v>
      </c>
      <c r="C6" s="11">
        <v>40809800</v>
      </c>
    </row>
    <row r="7" spans="1:3" ht="25" customHeight="1" x14ac:dyDescent="0.3">
      <c r="A7" s="9">
        <v>3</v>
      </c>
      <c r="B7" s="10">
        <v>48591245</v>
      </c>
      <c r="C7" s="11">
        <v>39967500</v>
      </c>
    </row>
    <row r="8" spans="1:3" ht="25" customHeight="1" x14ac:dyDescent="0.3">
      <c r="A8" s="9"/>
      <c r="B8" s="10">
        <f>SUM(B5:B7)</f>
        <v>152646845</v>
      </c>
      <c r="C8" s="11">
        <f>SUM(C5:C7)</f>
        <v>108739350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</v>
      </c>
      <c r="B12" s="10">
        <v>79651755</v>
      </c>
      <c r="C12" s="14"/>
    </row>
    <row r="13" spans="1:3" ht="25" customHeight="1" x14ac:dyDescent="0.3">
      <c r="A13" s="13">
        <v>2</v>
      </c>
      <c r="B13" s="10">
        <v>77479441</v>
      </c>
      <c r="C13" s="14"/>
    </row>
    <row r="14" spans="1:3" ht="25" customHeight="1" x14ac:dyDescent="0.3">
      <c r="A14" s="13">
        <v>3</v>
      </c>
      <c r="B14" s="10">
        <v>83047008</v>
      </c>
      <c r="C14" s="14"/>
    </row>
    <row r="15" spans="1:3" ht="25" customHeight="1" x14ac:dyDescent="0.3">
      <c r="A15" s="13"/>
      <c r="B15" s="11">
        <f>SUM(B12:B14)</f>
        <v>240178204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261386195</v>
      </c>
      <c r="B18" s="16">
        <f>(B15+C15)</f>
        <v>240178204</v>
      </c>
      <c r="C18" s="16">
        <f>(A18-B18)</f>
        <v>21207991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87</v>
      </c>
      <c r="B1" s="20"/>
    </row>
    <row r="2" spans="1:2" ht="30.6" x14ac:dyDescent="0.3">
      <c r="A2" s="1"/>
      <c r="B2" s="3"/>
    </row>
    <row r="3" spans="1:2" ht="30.6" x14ac:dyDescent="0.3">
      <c r="A3" s="2" t="s">
        <v>65</v>
      </c>
      <c r="B3" s="4">
        <v>79260266</v>
      </c>
    </row>
    <row r="4" spans="1:2" ht="30.6" x14ac:dyDescent="0.3">
      <c r="A4" s="2" t="s">
        <v>0</v>
      </c>
      <c r="B4" s="4">
        <v>20037220</v>
      </c>
    </row>
    <row r="5" spans="1:2" ht="30.6" x14ac:dyDescent="0.3">
      <c r="A5" s="2" t="s">
        <v>1</v>
      </c>
      <c r="B5" s="4">
        <v>3610400</v>
      </c>
    </row>
    <row r="6" spans="1:2" ht="30.6" x14ac:dyDescent="0.3">
      <c r="A6" s="2" t="s">
        <v>2</v>
      </c>
      <c r="B6" s="4">
        <v>926284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66</v>
      </c>
      <c r="B8" s="4">
        <f>(B3-B4-B5-B6-B7)</f>
        <v>54686362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27604961</v>
      </c>
    </row>
    <row r="11" spans="1:2" ht="30.6" x14ac:dyDescent="0.3">
      <c r="A11" s="2" t="s">
        <v>5</v>
      </c>
      <c r="B11" s="18">
        <v>29256943</v>
      </c>
    </row>
    <row r="12" spans="1:2" ht="30.6" x14ac:dyDescent="0.3">
      <c r="A12" s="2"/>
      <c r="B12" s="6">
        <f>SUM(B10:B11)</f>
        <v>56861904</v>
      </c>
    </row>
    <row r="13" spans="1:2" ht="30.6" x14ac:dyDescent="0.3">
      <c r="A13" s="2" t="s">
        <v>6</v>
      </c>
      <c r="B13" s="4">
        <f>(B3-B5-B6-B7-B10-B11-B4)</f>
        <v>-2175542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86</v>
      </c>
      <c r="B1" s="20"/>
    </row>
    <row r="2" spans="1:2" ht="30.6" x14ac:dyDescent="0.3">
      <c r="A2" s="1"/>
      <c r="B2" s="3"/>
    </row>
    <row r="3" spans="1:2" ht="30.6" x14ac:dyDescent="0.3">
      <c r="A3" s="2" t="s">
        <v>62</v>
      </c>
      <c r="B3" s="4">
        <v>84134091</v>
      </c>
    </row>
    <row r="4" spans="1:2" ht="30.6" x14ac:dyDescent="0.3">
      <c r="A4" s="2" t="s">
        <v>0</v>
      </c>
      <c r="B4" s="4">
        <v>28534731</v>
      </c>
    </row>
    <row r="5" spans="1:2" ht="30.6" x14ac:dyDescent="0.3">
      <c r="A5" s="2" t="s">
        <v>1</v>
      </c>
      <c r="B5" s="4">
        <v>2603000</v>
      </c>
    </row>
    <row r="6" spans="1:2" ht="30.6" x14ac:dyDescent="0.3">
      <c r="A6" s="2" t="s">
        <v>2</v>
      </c>
      <c r="B6" s="4">
        <v>578047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63</v>
      </c>
      <c r="B8" s="4">
        <f>(B3-B4-B5-B6-B7)</f>
        <v>52418313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17841697</v>
      </c>
    </row>
    <row r="11" spans="1:2" ht="30.6" x14ac:dyDescent="0.3">
      <c r="A11" s="2" t="s">
        <v>5</v>
      </c>
      <c r="B11" s="18">
        <v>38267722</v>
      </c>
    </row>
    <row r="12" spans="1:2" ht="30.6" x14ac:dyDescent="0.3">
      <c r="A12" s="2"/>
      <c r="B12" s="6">
        <f>SUM(B10:B11)</f>
        <v>56109419</v>
      </c>
    </row>
    <row r="13" spans="1:2" ht="30.6" x14ac:dyDescent="0.3">
      <c r="A13" s="2" t="s">
        <v>6</v>
      </c>
      <c r="B13" s="4">
        <f>(B3-B5-B6-B7-B10-B11-B4)</f>
        <v>-3691106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8" sqref="B8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85</v>
      </c>
      <c r="B1" s="20"/>
    </row>
    <row r="2" spans="1:2" ht="30.6" x14ac:dyDescent="0.3">
      <c r="A2" s="1"/>
      <c r="B2" s="3"/>
    </row>
    <row r="3" spans="1:2" ht="30.6" x14ac:dyDescent="0.3">
      <c r="A3" s="2" t="s">
        <v>59</v>
      </c>
      <c r="B3" s="4">
        <v>74711477</v>
      </c>
    </row>
    <row r="4" spans="1:2" ht="30.6" x14ac:dyDescent="0.3">
      <c r="A4" s="2" t="s">
        <v>0</v>
      </c>
      <c r="B4" s="4">
        <v>16050573</v>
      </c>
    </row>
    <row r="5" spans="1:2" ht="30.6" x14ac:dyDescent="0.3">
      <c r="A5" s="2" t="s">
        <v>1</v>
      </c>
      <c r="B5" s="4">
        <v>4229900</v>
      </c>
    </row>
    <row r="6" spans="1:2" ht="30.6" x14ac:dyDescent="0.3">
      <c r="A6" s="2" t="s">
        <v>2</v>
      </c>
      <c r="B6" s="4">
        <v>1065187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60</v>
      </c>
      <c r="B8" s="4">
        <f>(B3-B4-B5-B6-B7)</f>
        <v>53365817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30088304</v>
      </c>
    </row>
    <row r="11" spans="1:2" ht="30.6" x14ac:dyDescent="0.3">
      <c r="A11" s="2" t="s">
        <v>5</v>
      </c>
      <c r="B11" s="18">
        <v>23521705</v>
      </c>
    </row>
    <row r="12" spans="1:2" ht="30.6" x14ac:dyDescent="0.3">
      <c r="A12" s="2"/>
      <c r="B12" s="6">
        <f>SUM(B10:B11)</f>
        <v>53610009</v>
      </c>
    </row>
    <row r="13" spans="1:2" ht="30.6" x14ac:dyDescent="0.3">
      <c r="A13" s="2" t="s">
        <v>6</v>
      </c>
      <c r="B13" s="4">
        <f>(B3-B5-B6-B7-B10-B11-B4)</f>
        <v>-244192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83</v>
      </c>
      <c r="B1" s="20"/>
    </row>
    <row r="2" spans="1:2" ht="30.6" x14ac:dyDescent="0.3">
      <c r="A2" s="1"/>
      <c r="B2" s="3"/>
    </row>
    <row r="3" spans="1:2" ht="30.6" x14ac:dyDescent="0.3">
      <c r="A3" s="2" t="s">
        <v>55</v>
      </c>
      <c r="B3" s="4">
        <v>59103731</v>
      </c>
    </row>
    <row r="4" spans="1:2" ht="30.6" x14ac:dyDescent="0.3">
      <c r="A4" s="2" t="s">
        <v>0</v>
      </c>
      <c r="B4" s="4">
        <v>30785672</v>
      </c>
    </row>
    <row r="5" spans="1:2" ht="30.6" x14ac:dyDescent="0.3">
      <c r="A5" s="2" t="s">
        <v>1</v>
      </c>
      <c r="B5" s="4">
        <v>3053600</v>
      </c>
    </row>
    <row r="6" spans="1:2" ht="30.6" x14ac:dyDescent="0.3">
      <c r="A6" s="2" t="s">
        <v>2</v>
      </c>
      <c r="B6" s="4">
        <v>349794</v>
      </c>
    </row>
    <row r="7" spans="1:2" ht="30.6" x14ac:dyDescent="0.3">
      <c r="A7" s="2" t="s">
        <v>9</v>
      </c>
      <c r="B7" s="4">
        <v>24914665</v>
      </c>
    </row>
    <row r="8" spans="1:2" ht="30.6" x14ac:dyDescent="0.3">
      <c r="A8" s="2" t="s">
        <v>56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862718</v>
      </c>
    </row>
    <row r="11" spans="1:2" ht="30.6" x14ac:dyDescent="0.3">
      <c r="A11" s="2" t="s">
        <v>5</v>
      </c>
      <c r="B11" s="18">
        <v>-8471145</v>
      </c>
    </row>
    <row r="12" spans="1:2" ht="30.6" x14ac:dyDescent="0.3">
      <c r="A12" s="2"/>
      <c r="B12" s="6">
        <f>SUM(B10:B11)</f>
        <v>-7608427</v>
      </c>
    </row>
    <row r="13" spans="1:2" ht="30.6" x14ac:dyDescent="0.3">
      <c r="A13" s="2" t="s">
        <v>6</v>
      </c>
      <c r="B13" s="4">
        <f>(B3-B5-B6-B7-B10-B11-B4)</f>
        <v>7608427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3" sqref="C13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84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</v>
      </c>
      <c r="B5" s="10">
        <v>30247100</v>
      </c>
      <c r="C5" s="11">
        <v>29287490</v>
      </c>
    </row>
    <row r="6" spans="1:3" ht="25" customHeight="1" x14ac:dyDescent="0.3">
      <c r="A6" s="9">
        <v>2</v>
      </c>
      <c r="B6" s="10">
        <v>36511865</v>
      </c>
      <c r="C6" s="11">
        <v>17283600</v>
      </c>
    </row>
    <row r="7" spans="1:3" ht="25" customHeight="1" x14ac:dyDescent="0.3">
      <c r="A7" s="9">
        <v>3</v>
      </c>
      <c r="B7" s="10">
        <v>40505575</v>
      </c>
      <c r="C7" s="11">
        <v>32861600</v>
      </c>
    </row>
    <row r="8" spans="1:3" ht="25" customHeight="1" x14ac:dyDescent="0.3">
      <c r="A8" s="9"/>
      <c r="B8" s="10">
        <f>SUM(B5:B7)</f>
        <v>107264540</v>
      </c>
      <c r="C8" s="11">
        <f>SUM(C5:C7)</f>
        <v>79432690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</v>
      </c>
      <c r="B12" s="10">
        <v>63971672</v>
      </c>
      <c r="C12" s="14"/>
    </row>
    <row r="13" spans="1:3" ht="25" customHeight="1" x14ac:dyDescent="0.3">
      <c r="A13" s="13">
        <v>2</v>
      </c>
      <c r="B13" s="10">
        <v>55574354</v>
      </c>
      <c r="C13" s="14"/>
    </row>
    <row r="14" spans="1:3" ht="25" customHeight="1" x14ac:dyDescent="0.3">
      <c r="A14" s="13">
        <v>3</v>
      </c>
      <c r="B14" s="10">
        <v>69993149</v>
      </c>
      <c r="C14" s="14"/>
    </row>
    <row r="15" spans="1:3" ht="25" customHeight="1" x14ac:dyDescent="0.3">
      <c r="A15" s="13"/>
      <c r="B15" s="11">
        <f>SUM(B12:B14)</f>
        <v>189539175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186697230</v>
      </c>
      <c r="B18" s="16">
        <f>(B15+C15)</f>
        <v>189539175</v>
      </c>
      <c r="C18" s="16">
        <f>(A18-B18)</f>
        <v>-2841945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5" sqref="B5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81</v>
      </c>
      <c r="B1" s="20"/>
    </row>
    <row r="2" spans="1:2" ht="30.6" x14ac:dyDescent="0.3">
      <c r="A2" s="1"/>
      <c r="B2" s="3"/>
    </row>
    <row r="3" spans="1:2" ht="30.6" x14ac:dyDescent="0.3">
      <c r="A3" s="2" t="s">
        <v>52</v>
      </c>
      <c r="B3" s="4">
        <v>62686855</v>
      </c>
    </row>
    <row r="4" spans="1:2" ht="30.6" x14ac:dyDescent="0.3">
      <c r="A4" s="2" t="s">
        <v>0</v>
      </c>
      <c r="B4" s="4">
        <v>18395503</v>
      </c>
    </row>
    <row r="5" spans="1:2" ht="30.6" x14ac:dyDescent="0.3">
      <c r="A5" s="2" t="s">
        <v>1</v>
      </c>
      <c r="B5" s="4">
        <v>1158800</v>
      </c>
    </row>
    <row r="6" spans="1:2" ht="30.6" x14ac:dyDescent="0.3">
      <c r="A6" s="2" t="s">
        <v>2</v>
      </c>
      <c r="B6" s="4">
        <v>213397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53</v>
      </c>
      <c r="B8" s="4">
        <f>(B3-B4-B5-B6-B7)</f>
        <v>42919155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15646922</v>
      </c>
    </row>
    <row r="11" spans="1:2" ht="30.6" x14ac:dyDescent="0.3">
      <c r="A11" s="2" t="s">
        <v>5</v>
      </c>
      <c r="B11" s="18">
        <v>-1202100</v>
      </c>
    </row>
    <row r="12" spans="1:2" ht="30.6" x14ac:dyDescent="0.3">
      <c r="A12" s="2"/>
      <c r="B12" s="6">
        <f>SUM(B10:B11)</f>
        <v>14444822</v>
      </c>
    </row>
    <row r="13" spans="1:2" ht="30.6" x14ac:dyDescent="0.3">
      <c r="A13" s="2" t="s">
        <v>6</v>
      </c>
      <c r="B13" s="4">
        <f>(B3-B5-B6-B7-B10-B11-B4)</f>
        <v>28474333</v>
      </c>
    </row>
    <row r="14" spans="1:2" ht="30.6" x14ac:dyDescent="0.3">
      <c r="A14" s="21" t="s">
        <v>82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80</v>
      </c>
      <c r="B1" s="20"/>
    </row>
    <row r="2" spans="1:2" ht="30.6" x14ac:dyDescent="0.3">
      <c r="A2" s="1"/>
      <c r="B2" s="3"/>
    </row>
    <row r="3" spans="1:2" ht="30.6" x14ac:dyDescent="0.3">
      <c r="A3" s="2" t="s">
        <v>49</v>
      </c>
      <c r="B3" s="4">
        <v>74991207</v>
      </c>
    </row>
    <row r="4" spans="1:2" ht="30.6" x14ac:dyDescent="0.3">
      <c r="A4" s="2" t="s">
        <v>0</v>
      </c>
      <c r="B4" s="4">
        <v>13454666</v>
      </c>
    </row>
    <row r="5" spans="1:2" ht="30.6" x14ac:dyDescent="0.3">
      <c r="A5" s="2" t="s">
        <v>1</v>
      </c>
      <c r="B5" s="4">
        <v>1052000</v>
      </c>
    </row>
    <row r="6" spans="1:2" ht="30.6" x14ac:dyDescent="0.3">
      <c r="A6" s="2" t="s">
        <v>2</v>
      </c>
      <c r="B6" s="4">
        <v>448877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50</v>
      </c>
      <c r="B8" s="4">
        <f>(B3-B4-B5-B6-B7)</f>
        <v>60035664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24177310</v>
      </c>
    </row>
    <row r="11" spans="1:2" ht="30.6" x14ac:dyDescent="0.3">
      <c r="A11" s="2" t="s">
        <v>5</v>
      </c>
      <c r="B11" s="18">
        <v>6406914</v>
      </c>
    </row>
    <row r="12" spans="1:2" ht="30.6" x14ac:dyDescent="0.3">
      <c r="A12" s="2"/>
      <c r="B12" s="6">
        <f>SUM(B10:B11)</f>
        <v>30584224</v>
      </c>
    </row>
    <row r="13" spans="1:2" ht="30.6" x14ac:dyDescent="0.3">
      <c r="A13" s="2" t="s">
        <v>6</v>
      </c>
      <c r="B13" s="4">
        <f>(B3-B5-B6-B7-B10-B11-B4)</f>
        <v>29451440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8" sqref="C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79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10</v>
      </c>
      <c r="B5" s="10">
        <v>46557060</v>
      </c>
      <c r="C5" s="11">
        <v>27637550</v>
      </c>
    </row>
    <row r="6" spans="1:3" ht="25" customHeight="1" x14ac:dyDescent="0.3">
      <c r="A6" s="9">
        <v>11</v>
      </c>
      <c r="B6" s="10">
        <v>54745560</v>
      </c>
      <c r="C6" s="11">
        <v>35391850</v>
      </c>
    </row>
    <row r="7" spans="1:3" ht="25" customHeight="1" x14ac:dyDescent="0.3">
      <c r="A7" s="9">
        <v>12</v>
      </c>
      <c r="B7" s="10">
        <v>48082065</v>
      </c>
      <c r="C7" s="11">
        <v>42844590</v>
      </c>
    </row>
    <row r="8" spans="1:3" ht="25" customHeight="1" x14ac:dyDescent="0.3">
      <c r="A8" s="9"/>
      <c r="B8" s="10">
        <f>SUM(B5:B7)</f>
        <v>149384685</v>
      </c>
      <c r="C8" s="11">
        <f>SUM(C5:C7)</f>
        <v>105873990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10</v>
      </c>
      <c r="B12" s="10">
        <v>79089975</v>
      </c>
      <c r="C12" s="14"/>
    </row>
    <row r="13" spans="1:3" ht="25" customHeight="1" x14ac:dyDescent="0.3">
      <c r="A13" s="13">
        <v>11</v>
      </c>
      <c r="B13" s="10">
        <v>77954235</v>
      </c>
      <c r="C13" s="14"/>
    </row>
    <row r="14" spans="1:3" ht="25" customHeight="1" x14ac:dyDescent="0.3">
      <c r="A14" s="13">
        <v>12</v>
      </c>
      <c r="B14" s="10">
        <v>69818340</v>
      </c>
      <c r="C14" s="14"/>
    </row>
    <row r="15" spans="1:3" ht="25" customHeight="1" x14ac:dyDescent="0.3">
      <c r="A15" s="13"/>
      <c r="B15" s="11">
        <f>SUM(B12:B14)</f>
        <v>226862550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255258675</v>
      </c>
      <c r="B18" s="16">
        <f>(B15+C15)</f>
        <v>226862550</v>
      </c>
      <c r="C18" s="16">
        <f>(A18-B18)</f>
        <v>28396125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78</v>
      </c>
      <c r="B1" s="20"/>
    </row>
    <row r="2" spans="1:2" ht="30.6" x14ac:dyDescent="0.3">
      <c r="A2" s="1"/>
      <c r="B2" s="3"/>
    </row>
    <row r="3" spans="1:2" ht="30.6" x14ac:dyDescent="0.3">
      <c r="A3" s="2" t="s">
        <v>46</v>
      </c>
      <c r="B3" s="4">
        <v>83754709</v>
      </c>
    </row>
    <row r="4" spans="1:2" ht="30.6" x14ac:dyDescent="0.3">
      <c r="A4" s="2" t="s">
        <v>0</v>
      </c>
      <c r="B4" s="4">
        <v>15420097</v>
      </c>
    </row>
    <row r="5" spans="1:2" ht="30.6" x14ac:dyDescent="0.3">
      <c r="A5" s="2" t="s">
        <v>1</v>
      </c>
      <c r="B5" s="4">
        <v>1447600</v>
      </c>
    </row>
    <row r="6" spans="1:2" ht="30.6" x14ac:dyDescent="0.3">
      <c r="A6" s="2" t="s">
        <v>2</v>
      </c>
      <c r="B6" s="4">
        <v>1057338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47</v>
      </c>
      <c r="B8" s="4">
        <f>(B3-B4-B5-B6-B7)</f>
        <v>65829674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30036959</v>
      </c>
    </row>
    <row r="11" spans="1:2" ht="30.6" x14ac:dyDescent="0.3">
      <c r="A11" s="2" t="s">
        <v>5</v>
      </c>
      <c r="B11" s="18">
        <v>31197013</v>
      </c>
    </row>
    <row r="12" spans="1:2" ht="30.6" x14ac:dyDescent="0.3">
      <c r="A12" s="2"/>
      <c r="B12" s="6">
        <f>SUM(B10:B11)</f>
        <v>61233972</v>
      </c>
    </row>
    <row r="13" spans="1:2" ht="30.6" x14ac:dyDescent="0.3">
      <c r="A13" s="2" t="s">
        <v>6</v>
      </c>
      <c r="B13" s="4">
        <f>(B3-B5-B6-B7-B10-B11-B4)</f>
        <v>4595702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Normal="100"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77</v>
      </c>
      <c r="B1" s="20"/>
    </row>
    <row r="2" spans="1:2" ht="30.6" x14ac:dyDescent="0.3">
      <c r="A2" s="1"/>
      <c r="B2" s="3"/>
    </row>
    <row r="3" spans="1:2" ht="30.6" x14ac:dyDescent="0.3">
      <c r="A3" s="2" t="s">
        <v>43</v>
      </c>
      <c r="B3" s="4">
        <v>81258485</v>
      </c>
    </row>
    <row r="4" spans="1:2" ht="30.6" x14ac:dyDescent="0.3">
      <c r="A4" s="2" t="s">
        <v>0</v>
      </c>
      <c r="B4" s="4">
        <v>22036679</v>
      </c>
    </row>
    <row r="5" spans="1:2" ht="30.6" x14ac:dyDescent="0.3">
      <c r="A5" s="2" t="s">
        <v>1</v>
      </c>
      <c r="B5" s="4">
        <v>3472920</v>
      </c>
    </row>
    <row r="6" spans="1:2" ht="30.6" x14ac:dyDescent="0.3">
      <c r="A6" s="2" t="s">
        <v>2</v>
      </c>
      <c r="B6" s="4">
        <v>1335873</v>
      </c>
    </row>
    <row r="7" spans="1:2" ht="30.6" x14ac:dyDescent="0.3">
      <c r="A7" s="2" t="s">
        <v>9</v>
      </c>
      <c r="B7" s="4">
        <v>9577920</v>
      </c>
    </row>
    <row r="8" spans="1:2" ht="30.6" x14ac:dyDescent="0.3">
      <c r="A8" s="2" t="s">
        <v>44</v>
      </c>
      <c r="B8" s="4">
        <f>(B3-B4-B5-B6-B7)</f>
        <v>44835093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34546281</v>
      </c>
    </row>
    <row r="11" spans="1:2" ht="30.6" x14ac:dyDescent="0.3">
      <c r="A11" s="2" t="s">
        <v>5</v>
      </c>
      <c r="B11" s="18">
        <v>32220173</v>
      </c>
    </row>
    <row r="12" spans="1:2" ht="30.6" x14ac:dyDescent="0.3">
      <c r="A12" s="2"/>
      <c r="B12" s="6">
        <f>SUM(B10:B11)</f>
        <v>66766454</v>
      </c>
    </row>
    <row r="13" spans="1:2" ht="30.6" x14ac:dyDescent="0.3">
      <c r="A13" s="2" t="s">
        <v>6</v>
      </c>
      <c r="B13" s="4">
        <f>(B3-B5-B6-B7-B10-B11-B4)</f>
        <v>-21931361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76</v>
      </c>
      <c r="B1" s="20"/>
    </row>
    <row r="2" spans="1:2" ht="30.6" x14ac:dyDescent="0.3">
      <c r="A2" s="1"/>
      <c r="B2" s="3"/>
    </row>
    <row r="3" spans="1:2" ht="30.6" x14ac:dyDescent="0.3">
      <c r="A3" s="2" t="s">
        <v>40</v>
      </c>
      <c r="B3" s="4">
        <v>73537464</v>
      </c>
    </row>
    <row r="4" spans="1:2" ht="30.6" x14ac:dyDescent="0.3">
      <c r="A4" s="2" t="s">
        <v>0</v>
      </c>
      <c r="B4" s="4">
        <v>19247734</v>
      </c>
    </row>
    <row r="5" spans="1:2" ht="30.6" x14ac:dyDescent="0.3">
      <c r="A5" s="2" t="s">
        <v>1</v>
      </c>
      <c r="B5" s="4">
        <v>3085580</v>
      </c>
    </row>
    <row r="6" spans="1:2" ht="30.6" x14ac:dyDescent="0.3">
      <c r="A6" s="2" t="s">
        <v>2</v>
      </c>
      <c r="B6" s="4">
        <v>1007052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41</v>
      </c>
      <c r="B8" s="4">
        <f>(B3-B4-B5-B6-B7)</f>
        <v>50197098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25343449</v>
      </c>
    </row>
    <row r="11" spans="1:2" ht="30.6" x14ac:dyDescent="0.3">
      <c r="A11" s="2" t="s">
        <v>5</v>
      </c>
      <c r="B11" s="18">
        <v>19133341</v>
      </c>
    </row>
    <row r="12" spans="1:2" ht="30.6" x14ac:dyDescent="0.3">
      <c r="A12" s="2"/>
      <c r="B12" s="6">
        <f>SUM(B10:B11)</f>
        <v>44476790</v>
      </c>
    </row>
    <row r="13" spans="1:2" ht="30.6" x14ac:dyDescent="0.3">
      <c r="A13" s="2" t="s">
        <v>6</v>
      </c>
      <c r="B13" s="4">
        <f>(B3-B5-B6-B7-B10-B11-B4)</f>
        <v>5720308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74</v>
      </c>
      <c r="B1" s="20"/>
    </row>
    <row r="2" spans="1:2" ht="30.6" x14ac:dyDescent="0.3">
      <c r="A2" s="1"/>
      <c r="B2" s="3"/>
    </row>
    <row r="3" spans="1:2" ht="30.6" x14ac:dyDescent="0.3">
      <c r="A3" s="2" t="s">
        <v>36</v>
      </c>
      <c r="B3" s="4">
        <v>79339304</v>
      </c>
    </row>
    <row r="4" spans="1:2" ht="30.6" x14ac:dyDescent="0.3">
      <c r="A4" s="2" t="s">
        <v>0</v>
      </c>
      <c r="B4" s="4">
        <v>17570091</v>
      </c>
    </row>
    <row r="5" spans="1:2" ht="30.6" x14ac:dyDescent="0.3">
      <c r="A5" s="2" t="s">
        <v>1</v>
      </c>
      <c r="B5" s="4">
        <v>1064300</v>
      </c>
    </row>
    <row r="6" spans="1:2" ht="30.6" x14ac:dyDescent="0.3">
      <c r="A6" s="2" t="s">
        <v>2</v>
      </c>
      <c r="B6" s="4">
        <v>396407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37</v>
      </c>
      <c r="B8" s="4">
        <f>(B3-B4-B5-B6-B7)</f>
        <v>60308506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45167676</v>
      </c>
    </row>
    <row r="11" spans="1:2" ht="30.6" x14ac:dyDescent="0.3">
      <c r="A11" s="2" t="s">
        <v>5</v>
      </c>
      <c r="B11" s="18">
        <v>11769790</v>
      </c>
    </row>
    <row r="12" spans="1:2" ht="30.6" x14ac:dyDescent="0.3">
      <c r="A12" s="2"/>
      <c r="B12" s="6">
        <f>SUM(B10:B11)</f>
        <v>56937466</v>
      </c>
    </row>
    <row r="13" spans="1:2" ht="30.6" x14ac:dyDescent="0.3">
      <c r="A13" s="2" t="s">
        <v>6</v>
      </c>
      <c r="B13" s="4">
        <f>(B3-B5-B6-B7-B10-B11-B4)</f>
        <v>3371040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8" sqref="B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75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7</v>
      </c>
      <c r="B5" s="10">
        <v>47818330</v>
      </c>
      <c r="C5" s="11">
        <v>30020340</v>
      </c>
    </row>
    <row r="6" spans="1:3" ht="25" customHeight="1" x14ac:dyDescent="0.3">
      <c r="A6" s="9">
        <v>8</v>
      </c>
      <c r="B6" s="10">
        <v>70075580</v>
      </c>
      <c r="C6" s="11">
        <v>39674300</v>
      </c>
    </row>
    <row r="7" spans="1:3" ht="25" customHeight="1" x14ac:dyDescent="0.3">
      <c r="A7" s="9">
        <v>9</v>
      </c>
      <c r="B7" s="10">
        <v>42030910</v>
      </c>
      <c r="C7" s="11">
        <v>37248000</v>
      </c>
    </row>
    <row r="8" spans="1:3" ht="25" customHeight="1" x14ac:dyDescent="0.3">
      <c r="A8" s="9"/>
      <c r="B8" s="10">
        <f>SUM(B5:B7)</f>
        <v>159924820</v>
      </c>
      <c r="C8" s="11">
        <f>SUM(C5:C7)</f>
        <v>106942640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7</v>
      </c>
      <c r="B12" s="10">
        <v>77030729</v>
      </c>
      <c r="C12" s="14"/>
    </row>
    <row r="13" spans="1:3" ht="25" customHeight="1" x14ac:dyDescent="0.3">
      <c r="A13" s="13">
        <v>8</v>
      </c>
      <c r="B13" s="10">
        <v>97805991</v>
      </c>
      <c r="C13" s="14"/>
    </row>
    <row r="14" spans="1:3" ht="25" customHeight="1" x14ac:dyDescent="0.3">
      <c r="A14" s="13">
        <v>9</v>
      </c>
      <c r="B14" s="10">
        <v>72287999</v>
      </c>
      <c r="C14" s="14"/>
    </row>
    <row r="15" spans="1:3" ht="25" customHeight="1" x14ac:dyDescent="0.3">
      <c r="A15" s="13"/>
      <c r="B15" s="11">
        <f>SUM(B12:B14)</f>
        <v>247124719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266867460</v>
      </c>
      <c r="B18" s="16">
        <f>(B15+C15)</f>
        <v>247124719</v>
      </c>
      <c r="C18" s="16">
        <f>(A18-B18)</f>
        <v>19742741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71</v>
      </c>
      <c r="B1" s="20"/>
    </row>
    <row r="2" spans="1:2" ht="30.6" x14ac:dyDescent="0.3">
      <c r="A2" s="1"/>
      <c r="B2" s="3"/>
    </row>
    <row r="3" spans="1:2" ht="30.6" x14ac:dyDescent="0.3">
      <c r="A3" s="2" t="s">
        <v>72</v>
      </c>
      <c r="B3" s="4">
        <v>78267805</v>
      </c>
    </row>
    <row r="4" spans="1:2" ht="30.6" x14ac:dyDescent="0.3">
      <c r="A4" s="2" t="s">
        <v>0</v>
      </c>
      <c r="B4" s="4">
        <v>7543195</v>
      </c>
    </row>
    <row r="5" spans="1:2" ht="30.6" x14ac:dyDescent="0.3">
      <c r="A5" s="2" t="s">
        <v>1</v>
      </c>
      <c r="B5" s="4">
        <v>2208900</v>
      </c>
    </row>
    <row r="6" spans="1:2" ht="30.6" x14ac:dyDescent="0.3">
      <c r="A6" s="2" t="s">
        <v>2</v>
      </c>
      <c r="B6" s="4">
        <v>1373198</v>
      </c>
    </row>
    <row r="7" spans="1:2" ht="30.6" x14ac:dyDescent="0.3">
      <c r="A7" s="2" t="s">
        <v>9</v>
      </c>
      <c r="B7" s="4">
        <v>67142512</v>
      </c>
    </row>
    <row r="8" spans="1:2" ht="30.6" x14ac:dyDescent="0.3">
      <c r="A8" s="2" t="s">
        <v>73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181332</v>
      </c>
    </row>
    <row r="11" spans="1:2" ht="30.6" x14ac:dyDescent="0.3">
      <c r="A11" s="2" t="s">
        <v>5</v>
      </c>
      <c r="B11" s="18">
        <v>1731624</v>
      </c>
    </row>
    <row r="12" spans="1:2" ht="30.6" x14ac:dyDescent="0.3">
      <c r="A12" s="2"/>
      <c r="B12" s="6">
        <f>SUM(B10:B11)</f>
        <v>1912956</v>
      </c>
    </row>
    <row r="13" spans="1:2" ht="30.6" x14ac:dyDescent="0.3">
      <c r="A13" s="2" t="s">
        <v>6</v>
      </c>
      <c r="B13" s="4">
        <f>(B3-B5-B6-B7-B10-B11-B4)</f>
        <v>-1912956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7" sqref="A17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68</v>
      </c>
      <c r="B1" s="20"/>
    </row>
    <row r="2" spans="1:2" ht="30.6" x14ac:dyDescent="0.3">
      <c r="A2" s="1"/>
      <c r="B2" s="3"/>
    </row>
    <row r="3" spans="1:2" ht="30.6" x14ac:dyDescent="0.3">
      <c r="A3" s="2" t="s">
        <v>69</v>
      </c>
      <c r="B3" s="4">
        <v>89670174</v>
      </c>
    </row>
    <row r="4" spans="1:2" ht="30.6" x14ac:dyDescent="0.3">
      <c r="A4" s="2" t="s">
        <v>0</v>
      </c>
      <c r="B4" s="4">
        <v>25711884</v>
      </c>
    </row>
    <row r="5" spans="1:2" ht="30.6" x14ac:dyDescent="0.3">
      <c r="A5" s="2" t="s">
        <v>1</v>
      </c>
      <c r="B5" s="4">
        <v>1265000</v>
      </c>
    </row>
    <row r="6" spans="1:2" ht="30.6" x14ac:dyDescent="0.3">
      <c r="A6" s="2" t="s">
        <v>2</v>
      </c>
      <c r="B6" s="4">
        <v>1264014</v>
      </c>
    </row>
    <row r="7" spans="1:2" ht="30.6" x14ac:dyDescent="0.3">
      <c r="A7" s="2" t="s">
        <v>9</v>
      </c>
      <c r="B7" s="4">
        <v>61429276</v>
      </c>
    </row>
    <row r="8" spans="1:2" ht="30.6" x14ac:dyDescent="0.3">
      <c r="A8" s="2" t="s">
        <v>70</v>
      </c>
      <c r="B8" s="4">
        <f>(B3-B4-B5-B6-B7)</f>
        <v>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1140877</v>
      </c>
    </row>
    <row r="11" spans="1:2" ht="30.6" x14ac:dyDescent="0.3">
      <c r="A11" s="2" t="s">
        <v>5</v>
      </c>
      <c r="B11" s="18">
        <v>983743</v>
      </c>
    </row>
    <row r="12" spans="1:2" ht="30.6" x14ac:dyDescent="0.3">
      <c r="A12" s="2"/>
      <c r="B12" s="6">
        <f>SUM(B10:B11)</f>
        <v>2124620</v>
      </c>
    </row>
    <row r="13" spans="1:2" ht="30.6" x14ac:dyDescent="0.3">
      <c r="A13" s="2" t="s">
        <v>6</v>
      </c>
      <c r="B13" s="4">
        <f>(B3-B5-B6-B7-B10-B11-B4)</f>
        <v>-2124620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8" sqref="C8"/>
    </sheetView>
  </sheetViews>
  <sheetFormatPr defaultRowHeight="15.65" x14ac:dyDescent="0.3"/>
  <cols>
    <col min="1" max="1" width="23.33203125" style="7" customWidth="1"/>
    <col min="2" max="3" width="24.6640625" customWidth="1"/>
  </cols>
  <sheetData>
    <row r="1" spans="1:3" ht="25" customHeight="1" x14ac:dyDescent="0.3">
      <c r="A1" s="23" t="s">
        <v>67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4</v>
      </c>
      <c r="B5" s="10">
        <v>47632585</v>
      </c>
      <c r="C5" s="11">
        <v>33682150</v>
      </c>
    </row>
    <row r="6" spans="1:3" ht="25" customHeight="1" x14ac:dyDescent="0.3">
      <c r="A6" s="9">
        <v>5</v>
      </c>
      <c r="B6" s="10">
        <v>62748920</v>
      </c>
      <c r="C6" s="11">
        <v>29193980</v>
      </c>
    </row>
    <row r="7" spans="1:3" ht="25" customHeight="1" x14ac:dyDescent="0.3">
      <c r="A7" s="9">
        <v>6</v>
      </c>
      <c r="B7" s="10">
        <v>38045700</v>
      </c>
      <c r="C7" s="11">
        <v>34919930</v>
      </c>
    </row>
    <row r="8" spans="1:3" ht="25" customHeight="1" x14ac:dyDescent="0.3">
      <c r="A8" s="9"/>
      <c r="B8" s="10">
        <f>SUM(B5:B7)</f>
        <v>148427205</v>
      </c>
      <c r="C8" s="11">
        <f>SUM(C5:C7)</f>
        <v>97796060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4</v>
      </c>
      <c r="B12" s="10">
        <v>73173938</v>
      </c>
      <c r="C12" s="14"/>
    </row>
    <row r="13" spans="1:3" ht="25" customHeight="1" x14ac:dyDescent="0.3">
      <c r="A13" s="13">
        <v>5</v>
      </c>
      <c r="B13" s="10">
        <v>74584148</v>
      </c>
      <c r="C13" s="14"/>
    </row>
    <row r="14" spans="1:3" ht="25" customHeight="1" x14ac:dyDescent="0.3">
      <c r="A14" s="13">
        <v>6</v>
      </c>
      <c r="B14" s="10">
        <v>86485069</v>
      </c>
      <c r="C14" s="14"/>
    </row>
    <row r="15" spans="1:3" ht="25" customHeight="1" x14ac:dyDescent="0.3">
      <c r="A15" s="13"/>
      <c r="B15" s="11">
        <f>SUM(B12:B14)</f>
        <v>234243155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246223265</v>
      </c>
      <c r="B18" s="16">
        <f>(B15+C15)</f>
        <v>234243155</v>
      </c>
      <c r="C18" s="16">
        <f>(A18-B18)</f>
        <v>11980110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64</v>
      </c>
      <c r="B1" s="20"/>
    </row>
    <row r="2" spans="1:2" ht="30.6" x14ac:dyDescent="0.3">
      <c r="A2" s="1"/>
      <c r="B2" s="3"/>
    </row>
    <row r="3" spans="1:2" ht="30.6" x14ac:dyDescent="0.3">
      <c r="A3" s="2" t="s">
        <v>65</v>
      </c>
      <c r="B3" s="4">
        <v>78387760</v>
      </c>
    </row>
    <row r="4" spans="1:2" ht="30.6" x14ac:dyDescent="0.3">
      <c r="A4" s="2" t="s">
        <v>0</v>
      </c>
      <c r="B4" s="4">
        <v>20905896</v>
      </c>
    </row>
    <row r="5" spans="1:2" ht="30.6" x14ac:dyDescent="0.3">
      <c r="A5" s="2" t="s">
        <v>1</v>
      </c>
      <c r="B5" s="4">
        <v>6308500</v>
      </c>
    </row>
    <row r="6" spans="1:2" ht="30.6" x14ac:dyDescent="0.3">
      <c r="A6" s="2" t="s">
        <v>2</v>
      </c>
      <c r="B6" s="4">
        <v>836921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66</v>
      </c>
      <c r="B8" s="4">
        <f>(B3-B4-B5-B6-B7)</f>
        <v>50336443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46921084</v>
      </c>
    </row>
    <row r="11" spans="1:2" ht="30.6" x14ac:dyDescent="0.3">
      <c r="A11" s="2" t="s">
        <v>5</v>
      </c>
      <c r="B11" s="18">
        <v>18408301</v>
      </c>
    </row>
    <row r="12" spans="1:2" ht="30.6" x14ac:dyDescent="0.3">
      <c r="A12" s="2"/>
      <c r="B12" s="6">
        <f>SUM(B10:B11)</f>
        <v>65329385</v>
      </c>
    </row>
    <row r="13" spans="1:2" ht="30.6" x14ac:dyDescent="0.3">
      <c r="A13" s="2" t="s">
        <v>6</v>
      </c>
      <c r="B13" s="4">
        <f>(B3-B5-B6-B7-B10-B11-B4)</f>
        <v>-14992942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61</v>
      </c>
      <c r="B1" s="20"/>
    </row>
    <row r="2" spans="1:2" ht="30.6" x14ac:dyDescent="0.3">
      <c r="A2" s="1"/>
      <c r="B2" s="3"/>
    </row>
    <row r="3" spans="1:2" ht="30.6" x14ac:dyDescent="0.3">
      <c r="A3" s="2" t="s">
        <v>62</v>
      </c>
      <c r="B3" s="4">
        <v>76769099</v>
      </c>
    </row>
    <row r="4" spans="1:2" ht="30.6" x14ac:dyDescent="0.3">
      <c r="A4" s="2" t="s">
        <v>0</v>
      </c>
      <c r="B4" s="4">
        <v>22643500</v>
      </c>
    </row>
    <row r="5" spans="1:2" ht="30.6" x14ac:dyDescent="0.3">
      <c r="A5" s="2" t="s">
        <v>1</v>
      </c>
      <c r="B5" s="4">
        <v>12330300</v>
      </c>
    </row>
    <row r="6" spans="1:2" ht="30.6" x14ac:dyDescent="0.3">
      <c r="A6" s="2" t="s">
        <v>2</v>
      </c>
      <c r="B6" s="4">
        <v>649642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63</v>
      </c>
      <c r="B8" s="4">
        <f>(B3-B4-B5-B6-B7)</f>
        <v>41145657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31806013</v>
      </c>
    </row>
    <row r="11" spans="1:2" ht="30.6" x14ac:dyDescent="0.3">
      <c r="A11" s="2" t="s">
        <v>5</v>
      </c>
      <c r="B11" s="18">
        <v>22119294</v>
      </c>
    </row>
    <row r="12" spans="1:2" ht="30.6" x14ac:dyDescent="0.3">
      <c r="A12" s="2"/>
      <c r="B12" s="6">
        <f>SUM(B10:B11)</f>
        <v>53925307</v>
      </c>
    </row>
    <row r="13" spans="1:2" ht="30.6" x14ac:dyDescent="0.3">
      <c r="A13" s="2" t="s">
        <v>6</v>
      </c>
      <c r="B13" s="4">
        <f>(B3-B5-B6-B7-B10-B11-B4)</f>
        <v>-12779650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5" sqref="A15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58</v>
      </c>
      <c r="B1" s="20"/>
    </row>
    <row r="2" spans="1:2" ht="30.6" x14ac:dyDescent="0.3">
      <c r="A2" s="1"/>
      <c r="B2" s="3"/>
    </row>
    <row r="3" spans="1:2" ht="30.6" x14ac:dyDescent="0.3">
      <c r="A3" s="2" t="s">
        <v>59</v>
      </c>
      <c r="B3" s="4">
        <v>79484366</v>
      </c>
    </row>
    <row r="4" spans="1:2" ht="30.6" x14ac:dyDescent="0.3">
      <c r="A4" s="2" t="s">
        <v>0</v>
      </c>
      <c r="B4" s="4">
        <v>22266530</v>
      </c>
    </row>
    <row r="5" spans="1:2" ht="30.6" x14ac:dyDescent="0.3">
      <c r="A5" s="2" t="s">
        <v>1</v>
      </c>
      <c r="B5" s="4">
        <v>1966100</v>
      </c>
    </row>
    <row r="6" spans="1:2" ht="30.6" x14ac:dyDescent="0.3">
      <c r="A6" s="2" t="s">
        <v>2</v>
      </c>
      <c r="B6" s="4">
        <v>323894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60</v>
      </c>
      <c r="B8" s="4">
        <f>(B3-B4-B5-B6-B7)</f>
        <v>54927842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32402938</v>
      </c>
    </row>
    <row r="11" spans="1:2" ht="30.6" x14ac:dyDescent="0.3">
      <c r="A11" s="2" t="s">
        <v>5</v>
      </c>
      <c r="B11" s="18">
        <v>25043734</v>
      </c>
    </row>
    <row r="12" spans="1:2" ht="30.6" x14ac:dyDescent="0.3">
      <c r="A12" s="2"/>
      <c r="B12" s="6">
        <f>SUM(B10:B11)</f>
        <v>57446672</v>
      </c>
    </row>
    <row r="13" spans="1:2" ht="30.6" x14ac:dyDescent="0.3">
      <c r="A13" s="2" t="s">
        <v>6</v>
      </c>
      <c r="B13" s="4">
        <f>(B3-B5-B6-B7-B10-B11-B4)</f>
        <v>-2518830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sqref="A1:C1"/>
    </sheetView>
  </sheetViews>
  <sheetFormatPr defaultRowHeight="15.65" x14ac:dyDescent="0.3"/>
  <cols>
    <col min="1" max="1" width="22.77734375" style="7" customWidth="1"/>
    <col min="2" max="3" width="24.6640625" customWidth="1"/>
  </cols>
  <sheetData>
    <row r="1" spans="1:3" ht="25" customHeight="1" x14ac:dyDescent="0.3">
      <c r="A1" s="23" t="s">
        <v>57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</v>
      </c>
      <c r="B5" s="10">
        <v>56846275</v>
      </c>
      <c r="C5" s="11">
        <v>19454800</v>
      </c>
    </row>
    <row r="6" spans="1:3" ht="25" customHeight="1" x14ac:dyDescent="0.3">
      <c r="A6" s="9">
        <v>2</v>
      </c>
      <c r="B6" s="10">
        <v>25210280</v>
      </c>
      <c r="C6" s="11">
        <v>29292360</v>
      </c>
    </row>
    <row r="7" spans="1:3" ht="25" customHeight="1" x14ac:dyDescent="0.3">
      <c r="A7" s="9">
        <v>3</v>
      </c>
      <c r="B7" s="10">
        <v>51609680</v>
      </c>
      <c r="C7" s="11">
        <v>27416630</v>
      </c>
    </row>
    <row r="8" spans="1:3" ht="25" customHeight="1" x14ac:dyDescent="0.3">
      <c r="A8" s="9"/>
      <c r="B8" s="10">
        <f>SUM(B5:B7)</f>
        <v>133666235</v>
      </c>
      <c r="C8" s="11">
        <f>SUM(C5:C7)</f>
        <v>76163790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</v>
      </c>
      <c r="B12" s="10">
        <v>67477998</v>
      </c>
      <c r="C12" s="14"/>
    </row>
    <row r="13" spans="1:3" ht="25" customHeight="1" x14ac:dyDescent="0.3">
      <c r="A13" s="13">
        <v>2</v>
      </c>
      <c r="B13" s="10">
        <v>72448499</v>
      </c>
      <c r="C13" s="14"/>
    </row>
    <row r="14" spans="1:3" ht="25" customHeight="1" x14ac:dyDescent="0.3">
      <c r="A14" s="13">
        <v>3</v>
      </c>
      <c r="B14" s="10">
        <v>74926645</v>
      </c>
      <c r="C14" s="14"/>
    </row>
    <row r="15" spans="1:3" ht="25" customHeight="1" x14ac:dyDescent="0.3">
      <c r="A15" s="13"/>
      <c r="B15" s="11">
        <f>SUM(B12:B14)</f>
        <v>214853142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209830025</v>
      </c>
      <c r="B18" s="16">
        <f>(B15+C15)</f>
        <v>214853142</v>
      </c>
      <c r="C18" s="16">
        <f>(A18-B18)</f>
        <v>-5023117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54</v>
      </c>
      <c r="B1" s="20"/>
    </row>
    <row r="2" spans="1:2" ht="30.6" x14ac:dyDescent="0.3">
      <c r="A2" s="1"/>
      <c r="B2" s="3"/>
    </row>
    <row r="3" spans="1:2" ht="30.6" x14ac:dyDescent="0.3">
      <c r="A3" s="2" t="s">
        <v>55</v>
      </c>
      <c r="B3" s="4">
        <v>71158505</v>
      </c>
    </row>
    <row r="4" spans="1:2" ht="30.6" x14ac:dyDescent="0.3">
      <c r="A4" s="2" t="s">
        <v>0</v>
      </c>
      <c r="B4" s="4">
        <v>20634553</v>
      </c>
    </row>
    <row r="5" spans="1:2" ht="30.6" x14ac:dyDescent="0.3">
      <c r="A5" s="2" t="s">
        <v>1</v>
      </c>
      <c r="B5" s="4">
        <v>2295800</v>
      </c>
    </row>
    <row r="6" spans="1:2" ht="30.6" x14ac:dyDescent="0.3">
      <c r="A6" s="2" t="s">
        <v>2</v>
      </c>
      <c r="B6" s="4">
        <v>890585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56</v>
      </c>
      <c r="B8" s="4">
        <f>(B3-B4-B5-B6-B7)</f>
        <v>47337567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31414520</v>
      </c>
    </row>
    <row r="11" spans="1:2" ht="30.6" x14ac:dyDescent="0.3">
      <c r="A11" s="2" t="s">
        <v>5</v>
      </c>
      <c r="B11" s="18">
        <v>23243126</v>
      </c>
    </row>
    <row r="12" spans="1:2" ht="30.6" x14ac:dyDescent="0.3">
      <c r="A12" s="2"/>
      <c r="B12" s="6">
        <f>SUM(B10:B11)</f>
        <v>54657646</v>
      </c>
    </row>
    <row r="13" spans="1:2" ht="30.6" x14ac:dyDescent="0.3">
      <c r="A13" s="2" t="s">
        <v>6</v>
      </c>
      <c r="B13" s="4">
        <f>(B3-B5-B6-B7-B10-B11-B4)</f>
        <v>-7320079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9" sqref="B9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51</v>
      </c>
      <c r="B1" s="20"/>
    </row>
    <row r="2" spans="1:2" ht="30.6" x14ac:dyDescent="0.3">
      <c r="A2" s="1"/>
      <c r="B2" s="3"/>
    </row>
    <row r="3" spans="1:2" ht="30.6" x14ac:dyDescent="0.3">
      <c r="A3" s="2" t="s">
        <v>52</v>
      </c>
      <c r="B3" s="4">
        <v>73108541</v>
      </c>
    </row>
    <row r="4" spans="1:2" ht="30.6" x14ac:dyDescent="0.3">
      <c r="A4" s="2" t="s">
        <v>0</v>
      </c>
      <c r="B4" s="4">
        <v>24379586</v>
      </c>
    </row>
    <row r="5" spans="1:2" ht="30.6" x14ac:dyDescent="0.3">
      <c r="A5" s="2" t="s">
        <v>1</v>
      </c>
      <c r="B5" s="4">
        <v>1796700</v>
      </c>
    </row>
    <row r="6" spans="1:2" ht="30.6" x14ac:dyDescent="0.3">
      <c r="A6" s="2" t="s">
        <v>2</v>
      </c>
      <c r="B6" s="4">
        <v>318913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53</v>
      </c>
      <c r="B8" s="4">
        <f>(B3-B4-B5-B6-B7)</f>
        <v>46613342</v>
      </c>
    </row>
    <row r="9" spans="1:2" ht="30.6" x14ac:dyDescent="0.3">
      <c r="A9" s="2" t="s">
        <v>3</v>
      </c>
      <c r="B9" s="4">
        <v>23613342</v>
      </c>
    </row>
    <row r="10" spans="1:2" ht="30.6" x14ac:dyDescent="0.3">
      <c r="A10" s="2" t="s">
        <v>4</v>
      </c>
      <c r="B10" s="5">
        <v>23065259</v>
      </c>
    </row>
    <row r="11" spans="1:2" ht="30.6" x14ac:dyDescent="0.3">
      <c r="A11" s="2" t="s">
        <v>5</v>
      </c>
      <c r="B11" s="18">
        <v>23065199</v>
      </c>
    </row>
    <row r="12" spans="1:2" ht="30.6" x14ac:dyDescent="0.3">
      <c r="A12" s="2"/>
      <c r="B12" s="6">
        <f>SUM(B10:B11)</f>
        <v>46130458</v>
      </c>
    </row>
    <row r="13" spans="1:2" ht="30.6" x14ac:dyDescent="0.3">
      <c r="A13" s="2" t="s">
        <v>6</v>
      </c>
      <c r="B13" s="4">
        <f>(B3-B5-B6-B7-B10-B11-B4)</f>
        <v>482884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48</v>
      </c>
      <c r="B1" s="20"/>
    </row>
    <row r="2" spans="1:2" ht="30.6" x14ac:dyDescent="0.3">
      <c r="A2" s="1"/>
      <c r="B2" s="3"/>
    </row>
    <row r="3" spans="1:2" ht="30.6" x14ac:dyDescent="0.3">
      <c r="A3" s="2" t="s">
        <v>49</v>
      </c>
      <c r="B3" s="4">
        <v>73529445</v>
      </c>
    </row>
    <row r="4" spans="1:2" ht="30.6" x14ac:dyDescent="0.3">
      <c r="A4" s="2" t="s">
        <v>0</v>
      </c>
      <c r="B4" s="4">
        <v>9882521</v>
      </c>
    </row>
    <row r="5" spans="1:2" ht="30.6" x14ac:dyDescent="0.3">
      <c r="A5" s="2" t="s">
        <v>1</v>
      </c>
      <c r="B5" s="4">
        <v>4483600</v>
      </c>
    </row>
    <row r="6" spans="1:2" ht="30.6" x14ac:dyDescent="0.3">
      <c r="A6" s="2" t="s">
        <v>2</v>
      </c>
      <c r="B6" s="4">
        <v>262072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50</v>
      </c>
      <c r="B8" s="4">
        <f>(B3-B4-B5-B6-B7)</f>
        <v>58901252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40246289</v>
      </c>
    </row>
    <row r="11" spans="1:2" ht="30.6" x14ac:dyDescent="0.3">
      <c r="A11" s="2" t="s">
        <v>5</v>
      </c>
      <c r="B11" s="18">
        <v>14265023</v>
      </c>
    </row>
    <row r="12" spans="1:2" ht="30.6" x14ac:dyDescent="0.3">
      <c r="A12" s="2"/>
      <c r="B12" s="6">
        <f>SUM(B10:B11)</f>
        <v>54511312</v>
      </c>
    </row>
    <row r="13" spans="1:2" ht="30.6" x14ac:dyDescent="0.3">
      <c r="A13" s="2" t="s">
        <v>6</v>
      </c>
      <c r="B13" s="4">
        <f>(B3-B5-B6-B7-B10-B11-B4)</f>
        <v>4389940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45</v>
      </c>
      <c r="B1" s="20"/>
    </row>
    <row r="2" spans="1:2" ht="30.6" x14ac:dyDescent="0.3">
      <c r="A2" s="1"/>
      <c r="B2" s="3"/>
    </row>
    <row r="3" spans="1:2" ht="30.6" x14ac:dyDescent="0.3">
      <c r="A3" s="2" t="s">
        <v>46</v>
      </c>
      <c r="B3" s="4">
        <v>78134809</v>
      </c>
    </row>
    <row r="4" spans="1:2" ht="30.6" x14ac:dyDescent="0.3">
      <c r="A4" s="2" t="s">
        <v>0</v>
      </c>
      <c r="B4" s="4">
        <v>22774262</v>
      </c>
    </row>
    <row r="5" spans="1:2" ht="30.6" x14ac:dyDescent="0.3">
      <c r="A5" s="2" t="s">
        <v>1</v>
      </c>
      <c r="B5" s="4">
        <v>2334800</v>
      </c>
    </row>
    <row r="6" spans="1:2" ht="30.6" x14ac:dyDescent="0.3">
      <c r="A6" s="2" t="s">
        <v>2</v>
      </c>
      <c r="B6" s="4">
        <v>1821458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47</v>
      </c>
      <c r="B8" s="4">
        <f>(B3-B4-B5-B6-B7)</f>
        <v>51204289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37776905</v>
      </c>
    </row>
    <row r="11" spans="1:2" ht="30.6" x14ac:dyDescent="0.3">
      <c r="A11" s="2" t="s">
        <v>5</v>
      </c>
      <c r="B11" s="18">
        <v>20540120</v>
      </c>
    </row>
    <row r="12" spans="1:2" ht="30.6" x14ac:dyDescent="0.3">
      <c r="A12" s="2"/>
      <c r="B12" s="6"/>
    </row>
    <row r="13" spans="1:2" ht="30.6" x14ac:dyDescent="0.3">
      <c r="A13" s="2" t="s">
        <v>6</v>
      </c>
      <c r="B13" s="4">
        <f>(B3-B5-B6-B7-B10-B11-B4)</f>
        <v>-7112736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6" sqref="C6"/>
    </sheetView>
  </sheetViews>
  <sheetFormatPr defaultRowHeight="15.65" x14ac:dyDescent="0.3"/>
  <cols>
    <col min="1" max="1" width="22.77734375" style="7" customWidth="1"/>
    <col min="2" max="3" width="24.6640625" customWidth="1"/>
  </cols>
  <sheetData>
    <row r="1" spans="1:3" ht="25" customHeight="1" x14ac:dyDescent="0.3">
      <c r="A1" s="23" t="s">
        <v>38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10</v>
      </c>
      <c r="B5" s="10">
        <v>39158445</v>
      </c>
      <c r="C5" s="11">
        <v>26239260</v>
      </c>
    </row>
    <row r="6" spans="1:3" ht="25" customHeight="1" x14ac:dyDescent="0.3">
      <c r="A6" s="9">
        <v>11</v>
      </c>
      <c r="B6" s="10">
        <v>36096705</v>
      </c>
      <c r="C6" s="11">
        <v>34887410</v>
      </c>
    </row>
    <row r="7" spans="1:3" ht="25" customHeight="1" x14ac:dyDescent="0.3">
      <c r="A7" s="9">
        <v>12</v>
      </c>
      <c r="B7" s="10">
        <v>62981895</v>
      </c>
      <c r="C7" s="11">
        <v>30744470</v>
      </c>
    </row>
    <row r="8" spans="1:3" ht="25" customHeight="1" x14ac:dyDescent="0.3">
      <c r="A8" s="9"/>
      <c r="B8" s="10">
        <f>SUM(B5:B7)</f>
        <v>138237045</v>
      </c>
      <c r="C8" s="11">
        <f>SUM(C5:C7)</f>
        <v>91871140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10</v>
      </c>
      <c r="B12" s="10">
        <v>67784780</v>
      </c>
      <c r="C12" s="14"/>
    </row>
    <row r="13" spans="1:3" ht="25" customHeight="1" x14ac:dyDescent="0.3">
      <c r="A13" s="13">
        <v>11</v>
      </c>
      <c r="B13" s="10">
        <v>75876117</v>
      </c>
      <c r="C13" s="14"/>
    </row>
    <row r="14" spans="1:3" ht="25" customHeight="1" x14ac:dyDescent="0.3">
      <c r="A14" s="13">
        <v>12</v>
      </c>
      <c r="B14" s="10">
        <v>70050180</v>
      </c>
      <c r="C14" s="14"/>
    </row>
    <row r="15" spans="1:3" ht="25" customHeight="1" x14ac:dyDescent="0.3">
      <c r="A15" s="13"/>
      <c r="B15" s="11">
        <f>SUM(B12:B14)</f>
        <v>213711077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230108185</v>
      </c>
      <c r="B18" s="16">
        <f>(B15+C15)</f>
        <v>213711077</v>
      </c>
      <c r="C18" s="16">
        <f>(A18-B18)</f>
        <v>16397108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35</v>
      </c>
      <c r="B1" s="20"/>
    </row>
    <row r="2" spans="1:2" ht="30.6" x14ac:dyDescent="0.3">
      <c r="A2" s="1"/>
      <c r="B2" s="3"/>
    </row>
    <row r="3" spans="1:2" ht="30.6" x14ac:dyDescent="0.3">
      <c r="A3" s="2" t="s">
        <v>36</v>
      </c>
      <c r="B3" s="4">
        <v>81839923</v>
      </c>
    </row>
    <row r="4" spans="1:2" ht="30.6" x14ac:dyDescent="0.3">
      <c r="A4" s="2" t="s">
        <v>0</v>
      </c>
      <c r="B4" s="4">
        <v>11408908</v>
      </c>
    </row>
    <row r="5" spans="1:2" ht="30.6" x14ac:dyDescent="0.3">
      <c r="A5" s="2" t="s">
        <v>1</v>
      </c>
      <c r="B5" s="4">
        <v>1066020</v>
      </c>
    </row>
    <row r="6" spans="1:2" ht="30.6" x14ac:dyDescent="0.3">
      <c r="A6" s="2" t="s">
        <v>2</v>
      </c>
      <c r="B6" s="4">
        <v>1353435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37</v>
      </c>
      <c r="B8" s="4">
        <f>(B3-B4-B5-B6-B7)</f>
        <v>68011560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36255430</v>
      </c>
    </row>
    <row r="11" spans="1:2" ht="30.6" x14ac:dyDescent="0.3">
      <c r="A11" s="2" t="s">
        <v>5</v>
      </c>
      <c r="B11" s="18">
        <v>23088794</v>
      </c>
    </row>
    <row r="12" spans="1:2" ht="30.6" x14ac:dyDescent="0.3">
      <c r="A12" s="2"/>
      <c r="B12" s="6">
        <f>(B10+B11)</f>
        <v>59344224</v>
      </c>
    </row>
    <row r="13" spans="1:2" ht="30.6" x14ac:dyDescent="0.3">
      <c r="A13" s="2" t="s">
        <v>6</v>
      </c>
      <c r="B13" s="4">
        <f>(B3-B5-B6-B7-B10-B11-B4)</f>
        <v>8667336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1" sqref="B11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42</v>
      </c>
      <c r="B1" s="20"/>
    </row>
    <row r="2" spans="1:2" ht="30.6" x14ac:dyDescent="0.3">
      <c r="A2" s="1"/>
      <c r="B2" s="3"/>
    </row>
    <row r="3" spans="1:2" ht="30.6" x14ac:dyDescent="0.3">
      <c r="A3" s="2" t="s">
        <v>43</v>
      </c>
      <c r="B3" s="4">
        <v>69535647</v>
      </c>
    </row>
    <row r="4" spans="1:2" ht="30.6" x14ac:dyDescent="0.3">
      <c r="A4" s="2" t="s">
        <v>0</v>
      </c>
      <c r="B4" s="4">
        <v>20626292</v>
      </c>
    </row>
    <row r="5" spans="1:2" ht="30.6" x14ac:dyDescent="0.3">
      <c r="A5" s="2" t="s">
        <v>1</v>
      </c>
      <c r="B5" s="4">
        <v>4111200</v>
      </c>
    </row>
    <row r="6" spans="1:2" ht="30.6" x14ac:dyDescent="0.3">
      <c r="A6" s="2" t="s">
        <v>2</v>
      </c>
      <c r="B6" s="4">
        <v>1705452</v>
      </c>
    </row>
    <row r="7" spans="1:2" ht="30.6" x14ac:dyDescent="0.3">
      <c r="A7" s="2" t="s">
        <v>9</v>
      </c>
      <c r="B7" s="4">
        <v>11889350</v>
      </c>
    </row>
    <row r="8" spans="1:2" ht="30.6" x14ac:dyDescent="0.3">
      <c r="A8" s="2" t="s">
        <v>44</v>
      </c>
      <c r="B8" s="4">
        <f>(B3-B4-B5-B6-B7)</f>
        <v>31203353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21726180</v>
      </c>
    </row>
    <row r="11" spans="1:2" ht="30.6" x14ac:dyDescent="0.3">
      <c r="A11" s="2" t="s">
        <v>5</v>
      </c>
      <c r="B11" s="18">
        <v>15936085</v>
      </c>
    </row>
    <row r="12" spans="1:2" ht="30.6" x14ac:dyDescent="0.3">
      <c r="A12" s="2"/>
      <c r="B12" s="6">
        <f>(B10+B11)</f>
        <v>37662265</v>
      </c>
    </row>
    <row r="13" spans="1:2" ht="30.6" x14ac:dyDescent="0.3">
      <c r="A13" s="2" t="s">
        <v>6</v>
      </c>
      <c r="B13" s="4">
        <f>(B3-B5-B6-B7-B10-B11-B4)</f>
        <v>-6458912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6" sqref="B6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39</v>
      </c>
      <c r="B1" s="20"/>
    </row>
    <row r="2" spans="1:2" ht="30.6" x14ac:dyDescent="0.3">
      <c r="A2" s="1"/>
      <c r="B2" s="3"/>
    </row>
    <row r="3" spans="1:2" ht="30.6" x14ac:dyDescent="0.3">
      <c r="A3" s="2" t="s">
        <v>40</v>
      </c>
      <c r="B3" s="4">
        <v>73834117</v>
      </c>
    </row>
    <row r="4" spans="1:2" ht="30.6" x14ac:dyDescent="0.3">
      <c r="A4" s="2" t="s">
        <v>0</v>
      </c>
      <c r="B4" s="4">
        <v>17691283</v>
      </c>
    </row>
    <row r="5" spans="1:2" ht="30.6" x14ac:dyDescent="0.3">
      <c r="A5" s="2" t="s">
        <v>1</v>
      </c>
      <c r="B5" s="4">
        <v>1187500</v>
      </c>
    </row>
    <row r="6" spans="1:2" ht="30.6" x14ac:dyDescent="0.3">
      <c r="A6" s="2" t="s">
        <v>2</v>
      </c>
      <c r="B6" s="4">
        <v>694332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41</v>
      </c>
      <c r="B8" s="4">
        <f>(B3-B4-B5-B6-B7)</f>
        <v>54261002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36338224</v>
      </c>
    </row>
    <row r="11" spans="1:2" ht="30.6" x14ac:dyDescent="0.3">
      <c r="A11" s="2" t="s">
        <v>5</v>
      </c>
      <c r="B11" s="18">
        <v>10315665</v>
      </c>
    </row>
    <row r="12" spans="1:2" ht="30.6" x14ac:dyDescent="0.3">
      <c r="A12" s="2"/>
      <c r="B12" s="6">
        <f>(B10+B11)</f>
        <v>46653889</v>
      </c>
    </row>
    <row r="13" spans="1:2" ht="30.6" x14ac:dyDescent="0.3">
      <c r="A13" s="2" t="s">
        <v>6</v>
      </c>
      <c r="B13" s="4">
        <f>(B3-B5-B6-B7-B10-B11-B4)</f>
        <v>7607113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8" sqref="B8"/>
    </sheetView>
  </sheetViews>
  <sheetFormatPr defaultRowHeight="15.65" x14ac:dyDescent="0.3"/>
  <cols>
    <col min="1" max="1" width="22.77734375" style="7" customWidth="1"/>
    <col min="2" max="3" width="24.6640625" customWidth="1"/>
  </cols>
  <sheetData>
    <row r="1" spans="1:3" ht="25" customHeight="1" x14ac:dyDescent="0.3">
      <c r="A1" s="23" t="s">
        <v>38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7</v>
      </c>
      <c r="B5" s="10">
        <v>51617350</v>
      </c>
      <c r="C5" s="11">
        <v>24742900</v>
      </c>
    </row>
    <row r="6" spans="1:3" ht="25" customHeight="1" x14ac:dyDescent="0.3">
      <c r="A6" s="9">
        <v>8</v>
      </c>
      <c r="B6" s="10">
        <v>51698450</v>
      </c>
      <c r="C6" s="11">
        <v>39017780</v>
      </c>
    </row>
    <row r="7" spans="1:3" ht="25" customHeight="1" x14ac:dyDescent="0.3">
      <c r="A7" s="9">
        <v>9</v>
      </c>
      <c r="B7" s="10">
        <v>41365065</v>
      </c>
      <c r="C7" s="11">
        <v>32902230</v>
      </c>
    </row>
    <row r="8" spans="1:3" ht="25" customHeight="1" x14ac:dyDescent="0.3">
      <c r="A8" s="9"/>
      <c r="B8" s="10">
        <f>SUM(B5:B7)</f>
        <v>144680865</v>
      </c>
      <c r="C8" s="11">
        <f>SUM(C5:C7)</f>
        <v>96662910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7</v>
      </c>
      <c r="B12" s="10">
        <v>78032786</v>
      </c>
      <c r="C12" s="14"/>
    </row>
    <row r="13" spans="1:3" ht="25" customHeight="1" x14ac:dyDescent="0.3">
      <c r="A13" s="13">
        <v>8</v>
      </c>
      <c r="B13" s="10">
        <v>76586314</v>
      </c>
      <c r="C13" s="14"/>
    </row>
    <row r="14" spans="1:3" ht="25" customHeight="1" x14ac:dyDescent="0.3">
      <c r="A14" s="13">
        <v>9</v>
      </c>
      <c r="B14" s="10">
        <v>72908867</v>
      </c>
      <c r="C14" s="14"/>
    </row>
    <row r="15" spans="1:3" ht="25" customHeight="1" x14ac:dyDescent="0.3">
      <c r="A15" s="13"/>
      <c r="B15" s="11">
        <f>SUM(B12:B14)</f>
        <v>227527967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241343775</v>
      </c>
      <c r="B18" s="16">
        <f>(B15+C15)</f>
        <v>227527967</v>
      </c>
      <c r="C18" s="16">
        <f>(A18-B18)</f>
        <v>13815808</v>
      </c>
    </row>
  </sheetData>
  <mergeCells count="3">
    <mergeCell ref="A1:C1"/>
    <mergeCell ref="A3:C3"/>
    <mergeCell ref="A10:C10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2" sqref="B12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32</v>
      </c>
      <c r="B1" s="20"/>
    </row>
    <row r="2" spans="1:2" ht="30.6" x14ac:dyDescent="0.3">
      <c r="A2" s="1"/>
      <c r="B2" s="3"/>
    </row>
    <row r="3" spans="1:2" ht="30.6" x14ac:dyDescent="0.3">
      <c r="A3" s="2" t="s">
        <v>33</v>
      </c>
      <c r="B3" s="4">
        <v>82628689</v>
      </c>
    </row>
    <row r="4" spans="1:2" ht="30.6" x14ac:dyDescent="0.3">
      <c r="A4" s="2" t="s">
        <v>0</v>
      </c>
      <c r="B4" s="4">
        <v>15942030</v>
      </c>
    </row>
    <row r="5" spans="1:2" ht="30.6" x14ac:dyDescent="0.3">
      <c r="A5" s="2" t="s">
        <v>1</v>
      </c>
      <c r="B5" s="4">
        <v>7918300</v>
      </c>
    </row>
    <row r="6" spans="1:2" ht="30.6" x14ac:dyDescent="0.3">
      <c r="A6" s="2" t="s">
        <v>2</v>
      </c>
      <c r="B6" s="4">
        <v>1821854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34</v>
      </c>
      <c r="B8" s="4">
        <f>(B3-B4-B5-B6-B7)</f>
        <v>56946505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48308262</v>
      </c>
    </row>
    <row r="11" spans="1:2" ht="30.6" x14ac:dyDescent="0.3">
      <c r="A11" s="2" t="s">
        <v>5</v>
      </c>
      <c r="B11" s="18">
        <v>19243880</v>
      </c>
    </row>
    <row r="12" spans="1:2" ht="30.6" x14ac:dyDescent="0.3">
      <c r="A12" s="2"/>
      <c r="B12" s="6">
        <f>(B10+B11)</f>
        <v>67552142</v>
      </c>
    </row>
    <row r="13" spans="1:2" ht="30.6" x14ac:dyDescent="0.3">
      <c r="A13" s="2" t="s">
        <v>6</v>
      </c>
      <c r="B13" s="4">
        <f>(B3-B5-B6-B7-B10-B11-B4)</f>
        <v>-10605637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20" sqref="B20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29</v>
      </c>
      <c r="B1" s="20"/>
    </row>
    <row r="2" spans="1:2" ht="30.6" x14ac:dyDescent="0.3">
      <c r="A2" s="1"/>
      <c r="B2" s="3"/>
    </row>
    <row r="3" spans="1:2" ht="30.6" x14ac:dyDescent="0.3">
      <c r="A3" s="2" t="s">
        <v>30</v>
      </c>
      <c r="B3" s="4">
        <v>86147732</v>
      </c>
    </row>
    <row r="4" spans="1:2" ht="30.6" x14ac:dyDescent="0.3">
      <c r="A4" s="2" t="s">
        <v>0</v>
      </c>
      <c r="B4" s="4">
        <v>23038235</v>
      </c>
    </row>
    <row r="5" spans="1:2" ht="30.6" x14ac:dyDescent="0.3">
      <c r="A5" s="2" t="s">
        <v>1</v>
      </c>
      <c r="B5" s="4">
        <v>1030000</v>
      </c>
    </row>
    <row r="6" spans="1:2" ht="30.6" x14ac:dyDescent="0.3">
      <c r="A6" s="2" t="s">
        <v>2</v>
      </c>
      <c r="B6" s="4">
        <v>1802130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31</v>
      </c>
      <c r="B8" s="4">
        <f>(B3-B4-B5-B6-B7)</f>
        <v>60277367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35530137</v>
      </c>
    </row>
    <row r="11" spans="1:2" ht="30.6" x14ac:dyDescent="0.3">
      <c r="A11" s="2" t="s">
        <v>5</v>
      </c>
      <c r="B11" s="18">
        <v>24528409</v>
      </c>
    </row>
    <row r="12" spans="1:2" ht="30.6" x14ac:dyDescent="0.3">
      <c r="A12" s="2"/>
      <c r="B12" s="6">
        <f>(B10+B11)</f>
        <v>60058546</v>
      </c>
    </row>
    <row r="13" spans="1:2" ht="30.6" x14ac:dyDescent="0.3">
      <c r="A13" s="2" t="s">
        <v>6</v>
      </c>
      <c r="B13" s="4">
        <f>(B3-B5-B6-B7-B10-B11-B4)</f>
        <v>218821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7" sqref="B17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18</v>
      </c>
      <c r="B1" s="20"/>
    </row>
    <row r="2" spans="1:2" ht="30.6" x14ac:dyDescent="0.3">
      <c r="A2" s="1"/>
      <c r="B2" s="3"/>
    </row>
    <row r="3" spans="1:2" ht="30.6" x14ac:dyDescent="0.3">
      <c r="A3" s="2" t="s">
        <v>19</v>
      </c>
      <c r="B3" s="4">
        <v>72850255</v>
      </c>
    </row>
    <row r="4" spans="1:2" ht="30.6" x14ac:dyDescent="0.3">
      <c r="A4" s="2" t="s">
        <v>0</v>
      </c>
      <c r="B4" s="4">
        <v>22388982</v>
      </c>
    </row>
    <row r="5" spans="1:2" ht="30.6" x14ac:dyDescent="0.3">
      <c r="A5" s="2" t="s">
        <v>1</v>
      </c>
      <c r="B5" s="4">
        <v>3436300</v>
      </c>
    </row>
    <row r="6" spans="1:2" ht="30.6" x14ac:dyDescent="0.3">
      <c r="A6" s="2" t="s">
        <v>2</v>
      </c>
      <c r="B6" s="4">
        <v>1203464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20</v>
      </c>
      <c r="B8" s="4">
        <f>(B3-B4-B5-B6-B7)</f>
        <v>45821509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29506004</v>
      </c>
    </row>
    <row r="11" spans="1:2" ht="30.6" x14ac:dyDescent="0.3">
      <c r="A11" s="2" t="s">
        <v>5</v>
      </c>
      <c r="B11" s="6">
        <v>17724086</v>
      </c>
    </row>
    <row r="12" spans="1:2" ht="30.6" x14ac:dyDescent="0.3">
      <c r="A12" s="2"/>
      <c r="B12" s="4">
        <f>(B10+B11)</f>
        <v>47230090</v>
      </c>
    </row>
    <row r="13" spans="1:2" ht="30.6" x14ac:dyDescent="0.3">
      <c r="A13" s="2" t="s">
        <v>6</v>
      </c>
      <c r="B13" s="4">
        <f>(B3-B5-B6-B7-B10-B11-B4)</f>
        <v>-1408581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8" sqref="B8"/>
    </sheetView>
  </sheetViews>
  <sheetFormatPr defaultRowHeight="15.65" x14ac:dyDescent="0.3"/>
  <cols>
    <col min="1" max="1" width="22.77734375" style="7" customWidth="1"/>
    <col min="2" max="3" width="24.6640625" customWidth="1"/>
  </cols>
  <sheetData>
    <row r="1" spans="1:3" ht="25" customHeight="1" x14ac:dyDescent="0.3">
      <c r="A1" s="23" t="s">
        <v>28</v>
      </c>
      <c r="B1" s="23"/>
      <c r="C1" s="23"/>
    </row>
    <row r="2" spans="1:3" ht="12.9" customHeight="1" x14ac:dyDescent="0.3"/>
    <row r="3" spans="1:3" ht="25" customHeight="1" x14ac:dyDescent="0.3">
      <c r="A3" s="24" t="s">
        <v>24</v>
      </c>
      <c r="B3" s="25"/>
      <c r="C3" s="25"/>
    </row>
    <row r="4" spans="1:3" ht="25" customHeight="1" x14ac:dyDescent="0.3">
      <c r="A4" s="17" t="s">
        <v>25</v>
      </c>
      <c r="B4" s="17" t="s">
        <v>21</v>
      </c>
      <c r="C4" s="17" t="s">
        <v>22</v>
      </c>
    </row>
    <row r="5" spans="1:3" ht="25" customHeight="1" x14ac:dyDescent="0.3">
      <c r="A5" s="9">
        <v>4</v>
      </c>
      <c r="B5" s="10">
        <v>23281750</v>
      </c>
      <c r="C5" s="11">
        <v>27256790</v>
      </c>
    </row>
    <row r="6" spans="1:3" ht="25" customHeight="1" x14ac:dyDescent="0.3">
      <c r="A6" s="9">
        <v>5</v>
      </c>
      <c r="B6" s="10">
        <v>41742015</v>
      </c>
      <c r="C6" s="11">
        <v>31175980</v>
      </c>
    </row>
    <row r="7" spans="1:3" ht="25" customHeight="1" x14ac:dyDescent="0.3">
      <c r="A7" s="9">
        <v>6</v>
      </c>
      <c r="B7" s="10">
        <v>61448755</v>
      </c>
      <c r="C7" s="11">
        <v>43486700</v>
      </c>
    </row>
    <row r="8" spans="1:3" ht="25" customHeight="1" x14ac:dyDescent="0.3">
      <c r="A8" s="9"/>
      <c r="B8" s="10">
        <f>SUM(B5:B7)</f>
        <v>126472520</v>
      </c>
      <c r="C8" s="11">
        <f>SUM(C5:C7)</f>
        <v>101919470</v>
      </c>
    </row>
    <row r="9" spans="1:3" ht="14.3" customHeight="1" x14ac:dyDescent="0.3"/>
    <row r="10" spans="1:3" ht="25" customHeight="1" x14ac:dyDescent="0.3">
      <c r="A10" s="24" t="s">
        <v>23</v>
      </c>
      <c r="B10" s="25"/>
      <c r="C10" s="25"/>
    </row>
    <row r="11" spans="1:3" ht="25" customHeight="1" x14ac:dyDescent="0.3">
      <c r="A11" s="13" t="s">
        <v>25</v>
      </c>
      <c r="B11" s="13" t="s">
        <v>21</v>
      </c>
      <c r="C11" s="13" t="s">
        <v>22</v>
      </c>
    </row>
    <row r="12" spans="1:3" ht="25" customHeight="1" x14ac:dyDescent="0.3">
      <c r="A12" s="13">
        <v>4</v>
      </c>
      <c r="B12" s="10">
        <v>75393283</v>
      </c>
      <c r="C12" s="14"/>
    </row>
    <row r="13" spans="1:3" ht="25" customHeight="1" x14ac:dyDescent="0.3">
      <c r="A13" s="13">
        <v>5</v>
      </c>
      <c r="B13" s="10">
        <v>68778058</v>
      </c>
      <c r="C13" s="14"/>
    </row>
    <row r="14" spans="1:3" ht="25" customHeight="1" x14ac:dyDescent="0.3">
      <c r="A14" s="13">
        <v>6</v>
      </c>
      <c r="B14" s="10">
        <v>81783910</v>
      </c>
      <c r="C14" s="14"/>
    </row>
    <row r="15" spans="1:3" ht="25" customHeight="1" x14ac:dyDescent="0.3">
      <c r="A15" s="13"/>
      <c r="B15" s="11">
        <f>SUM(B12:B14)</f>
        <v>225955251</v>
      </c>
      <c r="C15" s="14"/>
    </row>
    <row r="16" spans="1:3" ht="12.9" customHeight="1" x14ac:dyDescent="0.3">
      <c r="A16" s="9"/>
      <c r="B16" s="8"/>
      <c r="C16" s="8"/>
    </row>
    <row r="17" spans="1:3" ht="25" customHeight="1" x14ac:dyDescent="0.3">
      <c r="A17" s="12" t="s">
        <v>26</v>
      </c>
      <c r="B17" s="12" t="s">
        <v>27</v>
      </c>
      <c r="C17" s="12" t="s">
        <v>6</v>
      </c>
    </row>
    <row r="18" spans="1:3" ht="25" customHeight="1" x14ac:dyDescent="0.3">
      <c r="A18" s="15">
        <f>(B8+C8)</f>
        <v>228391990</v>
      </c>
      <c r="B18" s="16">
        <f>(B15+C15)</f>
        <v>225955251</v>
      </c>
      <c r="C18" s="16">
        <f>(A18-B18)</f>
        <v>2436739</v>
      </c>
    </row>
  </sheetData>
  <mergeCells count="3">
    <mergeCell ref="A3:C3"/>
    <mergeCell ref="A1:C1"/>
    <mergeCell ref="A10:C10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B14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14</v>
      </c>
      <c r="B1" s="20"/>
    </row>
    <row r="2" spans="1:2" ht="30.6" x14ac:dyDescent="0.3">
      <c r="A2" s="1"/>
      <c r="B2" s="3"/>
    </row>
    <row r="3" spans="1:2" ht="30.6" x14ac:dyDescent="0.3">
      <c r="A3" s="2" t="s">
        <v>15</v>
      </c>
      <c r="B3" s="4">
        <v>77765330</v>
      </c>
    </row>
    <row r="4" spans="1:2" ht="30.6" x14ac:dyDescent="0.3">
      <c r="A4" s="2" t="s">
        <v>0</v>
      </c>
      <c r="B4" s="4">
        <v>13607984</v>
      </c>
    </row>
    <row r="5" spans="1:2" ht="30.6" x14ac:dyDescent="0.3">
      <c r="A5" s="2" t="s">
        <v>1</v>
      </c>
      <c r="B5" s="4">
        <v>1134200</v>
      </c>
    </row>
    <row r="6" spans="1:2" ht="30.6" x14ac:dyDescent="0.3">
      <c r="A6" s="2" t="s">
        <v>2</v>
      </c>
      <c r="B6" s="4">
        <v>533218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16</v>
      </c>
      <c r="B8" s="4">
        <f>(B3-B4-B5-B6-B7)</f>
        <v>62489928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35706140</v>
      </c>
    </row>
    <row r="11" spans="1:2" ht="30.6" x14ac:dyDescent="0.3">
      <c r="A11" s="2" t="s">
        <v>5</v>
      </c>
      <c r="B11" s="6">
        <v>26673785</v>
      </c>
    </row>
    <row r="12" spans="1:2" ht="30.6" x14ac:dyDescent="0.3">
      <c r="A12" s="2"/>
      <c r="B12" s="4">
        <f>(B10+B11)</f>
        <v>62379925</v>
      </c>
    </row>
    <row r="13" spans="1:2" ht="30.6" x14ac:dyDescent="0.3">
      <c r="A13" s="2" t="s">
        <v>6</v>
      </c>
      <c r="B13" s="4">
        <f>(B3-B5-B6-B7-B10-B11-B4)</f>
        <v>110003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6" sqref="A16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13</v>
      </c>
      <c r="B1" s="20"/>
    </row>
    <row r="2" spans="1:2" ht="30.6" x14ac:dyDescent="0.3">
      <c r="A2" s="1"/>
      <c r="B2" s="3"/>
    </row>
    <row r="3" spans="1:2" ht="30.6" x14ac:dyDescent="0.3">
      <c r="A3" s="2" t="s">
        <v>12</v>
      </c>
      <c r="B3" s="4">
        <v>82617337</v>
      </c>
    </row>
    <row r="4" spans="1:2" ht="30.6" x14ac:dyDescent="0.3">
      <c r="A4" s="2" t="s">
        <v>0</v>
      </c>
      <c r="B4" s="4">
        <v>13568516</v>
      </c>
    </row>
    <row r="5" spans="1:2" ht="30.6" x14ac:dyDescent="0.3">
      <c r="A5" s="2" t="s">
        <v>1</v>
      </c>
      <c r="B5" s="4">
        <v>1747200</v>
      </c>
    </row>
    <row r="6" spans="1:2" ht="30.6" x14ac:dyDescent="0.3">
      <c r="A6" s="2" t="s">
        <v>2</v>
      </c>
      <c r="B6" s="4">
        <v>842743</v>
      </c>
    </row>
    <row r="7" spans="1:2" ht="30.6" x14ac:dyDescent="0.3">
      <c r="A7" s="2" t="s">
        <v>9</v>
      </c>
      <c r="B7" s="4">
        <v>0</v>
      </c>
    </row>
    <row r="8" spans="1:2" ht="30.6" x14ac:dyDescent="0.3">
      <c r="A8" s="2" t="s">
        <v>17</v>
      </c>
      <c r="B8" s="4">
        <f>(B3-B4-B5-B6-B7)</f>
        <v>66458878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28086789</v>
      </c>
    </row>
    <row r="11" spans="1:2" ht="30.6" x14ac:dyDescent="0.3">
      <c r="A11" s="2" t="s">
        <v>5</v>
      </c>
      <c r="B11" s="4">
        <v>32200894</v>
      </c>
    </row>
    <row r="12" spans="1:2" ht="30.6" x14ac:dyDescent="0.3">
      <c r="A12" s="2"/>
      <c r="B12" s="4">
        <f>(B10+B11)</f>
        <v>60287683</v>
      </c>
    </row>
    <row r="13" spans="1:2" ht="30.6" x14ac:dyDescent="0.3">
      <c r="A13" s="2" t="s">
        <v>6</v>
      </c>
      <c r="B13" s="4">
        <f>(B3-B5-B6-B7-B10-B11-B4)</f>
        <v>6171195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8" sqref="A18"/>
    </sheetView>
  </sheetViews>
  <sheetFormatPr defaultRowHeight="15.65" x14ac:dyDescent="0.3"/>
  <cols>
    <col min="1" max="1" width="32.88671875" customWidth="1"/>
    <col min="2" max="2" width="37" customWidth="1"/>
  </cols>
  <sheetData>
    <row r="1" spans="1:2" ht="45.55" customHeight="1" x14ac:dyDescent="0.3">
      <c r="A1" s="19" t="s">
        <v>7</v>
      </c>
      <c r="B1" s="20"/>
    </row>
    <row r="2" spans="1:2" ht="30.6" x14ac:dyDescent="0.3">
      <c r="A2" s="1"/>
      <c r="B2" s="3"/>
    </row>
    <row r="3" spans="1:2" ht="30.6" x14ac:dyDescent="0.3">
      <c r="A3" s="2" t="s">
        <v>10</v>
      </c>
      <c r="B3" s="4">
        <v>60965602</v>
      </c>
    </row>
    <row r="4" spans="1:2" ht="30.6" x14ac:dyDescent="0.3">
      <c r="A4" s="2" t="s">
        <v>0</v>
      </c>
      <c r="B4" s="4">
        <v>7218596</v>
      </c>
    </row>
    <row r="5" spans="1:2" ht="30.6" x14ac:dyDescent="0.3">
      <c r="A5" s="2" t="s">
        <v>1</v>
      </c>
      <c r="B5" s="4">
        <v>6326500</v>
      </c>
    </row>
    <row r="6" spans="1:2" ht="30.6" x14ac:dyDescent="0.3">
      <c r="A6" s="2" t="s">
        <v>2</v>
      </c>
      <c r="B6" s="4">
        <v>1282389</v>
      </c>
    </row>
    <row r="7" spans="1:2" ht="30.6" x14ac:dyDescent="0.3">
      <c r="A7" s="2" t="s">
        <v>9</v>
      </c>
      <c r="B7" s="4">
        <v>1430000</v>
      </c>
    </row>
    <row r="8" spans="1:2" ht="30.6" x14ac:dyDescent="0.3">
      <c r="A8" s="2" t="s">
        <v>11</v>
      </c>
      <c r="B8" s="4">
        <f>(B3-B4-B5-B6-B7)</f>
        <v>44708117</v>
      </c>
    </row>
    <row r="9" spans="1:2" ht="30.6" x14ac:dyDescent="0.3">
      <c r="A9" s="2" t="s">
        <v>3</v>
      </c>
      <c r="B9" s="4"/>
    </row>
    <row r="10" spans="1:2" ht="30.6" x14ac:dyDescent="0.3">
      <c r="A10" s="2" t="s">
        <v>4</v>
      </c>
      <c r="B10" s="5">
        <v>45145765</v>
      </c>
    </row>
    <row r="11" spans="1:2" ht="30.6" x14ac:dyDescent="0.3">
      <c r="A11" s="2" t="s">
        <v>5</v>
      </c>
      <c r="B11" s="4">
        <v>12352186</v>
      </c>
    </row>
    <row r="12" spans="1:2" ht="30.6" x14ac:dyDescent="0.3">
      <c r="A12" s="2"/>
      <c r="B12" s="4">
        <f>(B10+B11)</f>
        <v>57497951</v>
      </c>
    </row>
    <row r="13" spans="1:2" ht="30.6" x14ac:dyDescent="0.3">
      <c r="A13" s="2" t="s">
        <v>6</v>
      </c>
      <c r="B13" s="4">
        <f>(B3-B5-B6-B7-B10-B11-B4)</f>
        <v>-12789834</v>
      </c>
    </row>
    <row r="14" spans="1:2" ht="30.6" x14ac:dyDescent="0.3">
      <c r="A14" s="21" t="s">
        <v>8</v>
      </c>
      <c r="B14" s="22"/>
    </row>
  </sheetData>
  <mergeCells count="2">
    <mergeCell ref="A1:B1"/>
    <mergeCell ref="A14: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54</vt:i4>
      </vt:variant>
      <vt:variant>
        <vt:lpstr>차트</vt:lpstr>
      </vt:variant>
      <vt:variant>
        <vt:i4>3</vt:i4>
      </vt:variant>
    </vt:vector>
  </HeadingPairs>
  <TitlesOfParts>
    <vt:vector size="57" baseType="lpstr">
      <vt:lpstr>  26년 08월</vt:lpstr>
      <vt:lpstr>  26년 07월</vt:lpstr>
      <vt:lpstr>26년2분기부가세</vt:lpstr>
      <vt:lpstr>  26년 06월</vt:lpstr>
      <vt:lpstr>  26년 05월</vt:lpstr>
      <vt:lpstr>  26년 04월</vt:lpstr>
      <vt:lpstr>26년1분기부가세</vt:lpstr>
      <vt:lpstr>  26년 03월</vt:lpstr>
      <vt:lpstr>  26년 02월</vt:lpstr>
      <vt:lpstr>  26년 01월   </vt:lpstr>
      <vt:lpstr>25년4분기부가세  </vt:lpstr>
      <vt:lpstr>25년 12월</vt:lpstr>
      <vt:lpstr>25년 11월</vt:lpstr>
      <vt:lpstr>25년 10월</vt:lpstr>
      <vt:lpstr>25년3분기부가세</vt:lpstr>
      <vt:lpstr>25년 09월</vt:lpstr>
      <vt:lpstr>25년 08월</vt:lpstr>
      <vt:lpstr>25년2분기부가세</vt:lpstr>
      <vt:lpstr>25년 07월</vt:lpstr>
      <vt:lpstr>25년 06월</vt:lpstr>
      <vt:lpstr>25년 05월</vt:lpstr>
      <vt:lpstr>25년 04월 </vt:lpstr>
      <vt:lpstr>25년1분기부가세</vt:lpstr>
      <vt:lpstr>25년 03월 </vt:lpstr>
      <vt:lpstr>25년 02월</vt:lpstr>
      <vt:lpstr>24년4분기부가세</vt:lpstr>
      <vt:lpstr>25년 01월</vt:lpstr>
      <vt:lpstr>24년 12월</vt:lpstr>
      <vt:lpstr>24년 11월</vt:lpstr>
      <vt:lpstr>24년 10월</vt:lpstr>
      <vt:lpstr>24년3분기부가세</vt:lpstr>
      <vt:lpstr>24년 09월</vt:lpstr>
      <vt:lpstr>24년 08월</vt:lpstr>
      <vt:lpstr>24년2분기부가세</vt:lpstr>
      <vt:lpstr>24년 07월</vt:lpstr>
      <vt:lpstr>24년 06월</vt:lpstr>
      <vt:lpstr>24년 05월 </vt:lpstr>
      <vt:lpstr>24년1분기부가세</vt:lpstr>
      <vt:lpstr>24년04월</vt:lpstr>
      <vt:lpstr>24년03월</vt:lpstr>
      <vt:lpstr>24년02월</vt:lpstr>
      <vt:lpstr>24년01월</vt:lpstr>
      <vt:lpstr>23년4분기부가세</vt:lpstr>
      <vt:lpstr>23년10월 </vt:lpstr>
      <vt:lpstr>23년12월</vt:lpstr>
      <vt:lpstr>23년11월 </vt:lpstr>
      <vt:lpstr>23년3분기부가세</vt:lpstr>
      <vt:lpstr>23년09월</vt:lpstr>
      <vt:lpstr>23년08월 </vt:lpstr>
      <vt:lpstr>23년07월</vt:lpstr>
      <vt:lpstr>23년2분기부가세</vt:lpstr>
      <vt:lpstr>23년06월 </vt:lpstr>
      <vt:lpstr>23년5월 </vt:lpstr>
      <vt:lpstr>23년4월</vt:lpstr>
      <vt:lpstr>Chart1</vt:lpstr>
      <vt:lpstr>Chart2</vt:lpstr>
      <vt:lpstr>Chart3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2023-07-23T23:42:27Z</cp:lastPrinted>
  <dcterms:created xsi:type="dcterms:W3CDTF">2023-04-16T23:21:41Z</dcterms:created>
  <dcterms:modified xsi:type="dcterms:W3CDTF">2026-08-29T07:00:49Z</dcterms:modified>
</cp:coreProperties>
</file>